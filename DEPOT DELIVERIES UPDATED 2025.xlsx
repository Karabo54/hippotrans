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2026 PROJECT\DATA\"/>
    </mc:Choice>
  </mc:AlternateContent>
  <xr:revisionPtr revIDLastSave="0" documentId="13_ncr:1_{E97EDFF6-9192-4539-9C9A-A9AE82942B7C}" xr6:coauthVersionLast="47" xr6:coauthVersionMax="47" xr10:uidLastSave="{00000000-0000-0000-0000-000000000000}"/>
  <bookViews>
    <workbookView xWindow="-108" yWindow="-108" windowWidth="23256" windowHeight="13176" firstSheet="2" activeTab="11" xr2:uid="{00000000-000D-0000-FFFF-FFFF00000000}"/>
  </bookViews>
  <sheets>
    <sheet name="JAN 25" sheetId="13" r:id="rId1"/>
    <sheet name="FEB 25" sheetId="26" r:id="rId2"/>
    <sheet name="MAR 25" sheetId="27" r:id="rId3"/>
    <sheet name="APR 25" sheetId="28" r:id="rId4"/>
    <sheet name="MAY 25" sheetId="29" r:id="rId5"/>
    <sheet name="JUN 25" sheetId="30" r:id="rId6"/>
    <sheet name="JUL 25" sheetId="31" r:id="rId7"/>
    <sheet name="AUG 25" sheetId="32" r:id="rId8"/>
    <sheet name="SEP 25" sheetId="33" r:id="rId9"/>
    <sheet name="OCT 25" sheetId="34" r:id="rId10"/>
    <sheet name="NOV 25" sheetId="35" r:id="rId11"/>
    <sheet name="DEC 25" sheetId="36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5" i="36" l="1"/>
  <c r="Q10" i="36"/>
  <c r="Q9" i="36"/>
  <c r="Q8" i="36"/>
  <c r="Q3" i="36"/>
  <c r="Q34" i="36"/>
  <c r="Q33" i="36"/>
  <c r="Q35" i="36"/>
  <c r="Q64" i="36"/>
  <c r="Q60" i="36"/>
  <c r="Q44" i="36"/>
  <c r="Q50" i="36"/>
  <c r="Q58" i="36"/>
  <c r="Q53" i="36"/>
  <c r="Q52" i="36"/>
  <c r="Q51" i="36"/>
  <c r="Q7" i="36"/>
  <c r="Q2" i="36"/>
  <c r="Q6" i="36"/>
  <c r="Q20" i="36"/>
  <c r="Q24" i="36"/>
  <c r="Q28" i="36"/>
  <c r="Q29" i="36"/>
  <c r="Q30" i="36"/>
  <c r="Q31" i="36"/>
  <c r="Q32" i="36"/>
  <c r="Q39" i="36"/>
  <c r="Q48" i="36"/>
  <c r="Q49" i="36"/>
  <c r="Q54" i="36"/>
  <c r="Q55" i="36"/>
  <c r="Q56" i="36"/>
  <c r="Q57" i="36"/>
  <c r="Q59" i="36"/>
  <c r="Q61" i="36"/>
  <c r="Q62" i="36"/>
  <c r="Q63" i="36"/>
  <c r="Q65" i="36"/>
  <c r="Q66" i="36"/>
  <c r="Q67" i="36"/>
  <c r="Q68" i="36"/>
  <c r="Q69" i="36"/>
  <c r="Q70" i="36"/>
  <c r="Q75" i="36"/>
  <c r="Q76" i="36"/>
  <c r="Q80" i="36"/>
  <c r="Q81" i="36"/>
  <c r="Q5" i="36"/>
  <c r="Q11" i="36"/>
  <c r="Q12" i="36"/>
  <c r="Q13" i="36"/>
  <c r="Q14" i="36"/>
  <c r="Q16" i="36"/>
  <c r="Q15" i="36"/>
  <c r="Q17" i="36"/>
  <c r="Q18" i="36"/>
  <c r="Q19" i="36"/>
  <c r="Q21" i="36"/>
  <c r="Q22" i="36"/>
  <c r="Q23" i="36"/>
  <c r="Q26" i="36"/>
  <c r="Q27" i="36"/>
  <c r="Q38" i="36"/>
  <c r="Q36" i="36"/>
  <c r="Q37" i="36"/>
  <c r="Q40" i="36"/>
  <c r="Q41" i="36"/>
  <c r="Q42" i="36"/>
  <c r="Q43" i="36"/>
  <c r="Q45" i="36"/>
  <c r="Q46" i="36"/>
  <c r="Q47" i="36"/>
  <c r="Q71" i="36"/>
  <c r="Q72" i="36"/>
  <c r="Q73" i="36"/>
  <c r="Q74" i="36"/>
  <c r="Q77" i="36"/>
  <c r="Q78" i="36"/>
  <c r="Q79" i="36"/>
  <c r="Q4" i="36"/>
  <c r="O84" i="35"/>
  <c r="J17" i="35"/>
  <c r="O6" i="35"/>
  <c r="J104" i="35" l="1"/>
  <c r="O104" i="35"/>
  <c r="J103" i="35"/>
  <c r="O103" i="35"/>
  <c r="J102" i="35"/>
  <c r="O102" i="35"/>
  <c r="J101" i="35"/>
  <c r="O101" i="35"/>
  <c r="J100" i="35"/>
  <c r="O100" i="35"/>
  <c r="J99" i="35"/>
  <c r="O99" i="35"/>
  <c r="J98" i="35"/>
  <c r="O98" i="35"/>
  <c r="J97" i="35"/>
  <c r="O97" i="35"/>
  <c r="J96" i="35"/>
  <c r="O96" i="35"/>
  <c r="J95" i="35" l="1"/>
  <c r="O95" i="35"/>
  <c r="J94" i="35"/>
  <c r="O94" i="35"/>
  <c r="J93" i="35"/>
  <c r="O93" i="35"/>
  <c r="J92" i="35" l="1"/>
  <c r="O92" i="35"/>
  <c r="J91" i="35"/>
  <c r="O91" i="35"/>
  <c r="J90" i="35"/>
  <c r="O90" i="35"/>
  <c r="J89" i="35"/>
  <c r="O89" i="35"/>
  <c r="J23" i="35" l="1"/>
  <c r="O23" i="35"/>
  <c r="J88" i="35"/>
  <c r="O88" i="35"/>
  <c r="J87" i="35"/>
  <c r="O87" i="35"/>
  <c r="J86" i="35"/>
  <c r="O86" i="35"/>
  <c r="J85" i="35"/>
  <c r="O85" i="35"/>
  <c r="J84" i="35"/>
  <c r="J79" i="35"/>
  <c r="O79" i="35"/>
  <c r="J83" i="35"/>
  <c r="O83" i="35"/>
  <c r="J82" i="35"/>
  <c r="O82" i="35"/>
  <c r="J81" i="35"/>
  <c r="O81" i="35"/>
  <c r="J80" i="35"/>
  <c r="O80" i="35"/>
  <c r="J78" i="35"/>
  <c r="O78" i="35"/>
  <c r="J77" i="35"/>
  <c r="O77" i="35"/>
  <c r="J76" i="35"/>
  <c r="O76" i="35"/>
  <c r="J75" i="35"/>
  <c r="O75" i="35"/>
  <c r="J74" i="35"/>
  <c r="O74" i="35"/>
  <c r="J73" i="35"/>
  <c r="O73" i="35"/>
  <c r="J72" i="35"/>
  <c r="O72" i="35"/>
  <c r="J71" i="35"/>
  <c r="O71" i="35"/>
  <c r="J70" i="35"/>
  <c r="O70" i="35"/>
  <c r="J69" i="35"/>
  <c r="O69" i="35"/>
  <c r="J68" i="35"/>
  <c r="O68" i="35"/>
  <c r="J67" i="35"/>
  <c r="O67" i="35"/>
  <c r="J66" i="35"/>
  <c r="O66" i="35"/>
  <c r="J65" i="35"/>
  <c r="O65" i="35"/>
  <c r="J64" i="35"/>
  <c r="O64" i="35"/>
  <c r="J63" i="35"/>
  <c r="O63" i="35"/>
  <c r="J62" i="35"/>
  <c r="O62" i="35"/>
  <c r="J61" i="35"/>
  <c r="O61" i="35"/>
  <c r="J60" i="35"/>
  <c r="O60" i="35"/>
  <c r="J59" i="35"/>
  <c r="O59" i="35"/>
  <c r="J58" i="35"/>
  <c r="O58" i="35"/>
  <c r="J57" i="35"/>
  <c r="O57" i="35"/>
  <c r="J56" i="35"/>
  <c r="O56" i="35"/>
  <c r="J55" i="35"/>
  <c r="O55" i="35"/>
  <c r="J54" i="35"/>
  <c r="O54" i="35"/>
  <c r="J53" i="35"/>
  <c r="O53" i="35"/>
  <c r="J52" i="35"/>
  <c r="O52" i="35"/>
  <c r="J51" i="35"/>
  <c r="O51" i="35"/>
  <c r="J50" i="35"/>
  <c r="O50" i="35"/>
  <c r="J49" i="35"/>
  <c r="O49" i="35"/>
  <c r="J48" i="35"/>
  <c r="O48" i="35"/>
  <c r="J47" i="35"/>
  <c r="O47" i="35"/>
  <c r="J46" i="35"/>
  <c r="O46" i="35"/>
  <c r="J45" i="35"/>
  <c r="O45" i="35"/>
  <c r="J44" i="35"/>
  <c r="O44" i="35"/>
  <c r="J43" i="35"/>
  <c r="O43" i="35"/>
  <c r="J42" i="35"/>
  <c r="O42" i="35"/>
  <c r="J41" i="35"/>
  <c r="O41" i="35"/>
  <c r="J40" i="35"/>
  <c r="O40" i="35"/>
  <c r="J39" i="35"/>
  <c r="O39" i="35"/>
  <c r="J38" i="35"/>
  <c r="O38" i="35"/>
  <c r="J27" i="35"/>
  <c r="O27" i="35"/>
  <c r="J37" i="35"/>
  <c r="O37" i="35"/>
  <c r="J36" i="35"/>
  <c r="O36" i="35"/>
  <c r="J35" i="35"/>
  <c r="O35" i="35"/>
  <c r="J34" i="35"/>
  <c r="O34" i="35"/>
  <c r="J33" i="35"/>
  <c r="O33" i="35"/>
  <c r="J32" i="35"/>
  <c r="O32" i="35"/>
  <c r="J31" i="35" l="1"/>
  <c r="O31" i="35"/>
  <c r="J30" i="35"/>
  <c r="O30" i="35"/>
  <c r="J29" i="35"/>
  <c r="O29" i="35"/>
  <c r="J28" i="35"/>
  <c r="O28" i="35"/>
  <c r="J26" i="35"/>
  <c r="O26" i="35"/>
  <c r="J25" i="35"/>
  <c r="O25" i="35"/>
  <c r="J24" i="35"/>
  <c r="O24" i="35"/>
  <c r="J22" i="35"/>
  <c r="O22" i="35"/>
  <c r="J21" i="35"/>
  <c r="O21" i="35"/>
  <c r="J20" i="35"/>
  <c r="O20" i="35"/>
  <c r="J19" i="35"/>
  <c r="O19" i="35"/>
  <c r="J18" i="35"/>
  <c r="O18" i="35"/>
  <c r="O17" i="35"/>
  <c r="J16" i="35" l="1"/>
  <c r="O16" i="35"/>
  <c r="J15" i="35"/>
  <c r="O15" i="35"/>
  <c r="J14" i="35"/>
  <c r="O14" i="35"/>
  <c r="J13" i="35"/>
  <c r="O13" i="35"/>
  <c r="J12" i="35"/>
  <c r="O12" i="35"/>
  <c r="J11" i="35"/>
  <c r="O11" i="35"/>
  <c r="J10" i="35"/>
  <c r="O10" i="35"/>
  <c r="J9" i="35"/>
  <c r="O9" i="35"/>
  <c r="J8" i="35"/>
  <c r="O8" i="35"/>
  <c r="J7" i="35"/>
  <c r="O7" i="35"/>
  <c r="J6" i="35"/>
  <c r="J5" i="35"/>
  <c r="O5" i="35"/>
  <c r="J4" i="35"/>
  <c r="O4" i="35"/>
  <c r="J3" i="35"/>
  <c r="O3" i="35"/>
  <c r="O2" i="35"/>
  <c r="J2" i="35"/>
  <c r="O2" i="34" l="1"/>
  <c r="O3" i="34"/>
  <c r="O4" i="34"/>
  <c r="O5" i="34"/>
  <c r="O6" i="34"/>
  <c r="O7" i="34"/>
  <c r="O8" i="34"/>
  <c r="O9" i="34"/>
  <c r="O10" i="34"/>
  <c r="O11" i="34"/>
  <c r="O12" i="34"/>
  <c r="O13" i="34"/>
  <c r="O14" i="34"/>
  <c r="O15" i="34"/>
  <c r="O16" i="34"/>
  <c r="O17" i="34"/>
  <c r="O18" i="34"/>
  <c r="O19" i="34"/>
  <c r="O20" i="34"/>
  <c r="O21" i="34"/>
  <c r="O22" i="34"/>
  <c r="O23" i="34"/>
  <c r="O24" i="34"/>
  <c r="O25" i="34"/>
  <c r="O26" i="34"/>
  <c r="O27" i="34"/>
  <c r="O28" i="34"/>
  <c r="O29" i="34"/>
  <c r="O30" i="34"/>
  <c r="O31" i="34"/>
  <c r="O32" i="34"/>
  <c r="O33" i="34"/>
  <c r="O34" i="34"/>
  <c r="O35" i="34"/>
  <c r="O36" i="34"/>
  <c r="O37" i="34"/>
  <c r="O38" i="34"/>
  <c r="O39" i="34"/>
  <c r="O40" i="34"/>
  <c r="O41" i="34"/>
  <c r="O42" i="34"/>
  <c r="O43" i="34"/>
  <c r="O44" i="34"/>
  <c r="O45" i="34"/>
  <c r="O46" i="34"/>
  <c r="O47" i="34"/>
  <c r="O48" i="34"/>
  <c r="O49" i="34"/>
  <c r="O50" i="34"/>
  <c r="O51" i="34"/>
  <c r="O52" i="34"/>
  <c r="O53" i="34"/>
  <c r="O54" i="34"/>
  <c r="O55" i="34"/>
  <c r="O56" i="34"/>
  <c r="O57" i="34"/>
  <c r="O58" i="34"/>
  <c r="O59" i="34"/>
  <c r="O60" i="34"/>
  <c r="O61" i="34"/>
  <c r="O62" i="34"/>
  <c r="O63" i="34"/>
  <c r="O64" i="34"/>
  <c r="O65" i="34"/>
  <c r="O66" i="34"/>
  <c r="O67" i="34"/>
  <c r="O68" i="34"/>
  <c r="O69" i="34"/>
  <c r="O70" i="34"/>
  <c r="O71" i="34"/>
  <c r="O72" i="34"/>
  <c r="O73" i="34"/>
  <c r="O74" i="34"/>
  <c r="O75" i="34"/>
  <c r="O76" i="34"/>
  <c r="O77" i="34"/>
  <c r="O78" i="34"/>
  <c r="O79" i="34"/>
  <c r="O80" i="34"/>
  <c r="O81" i="34"/>
  <c r="O82" i="34"/>
  <c r="O83" i="34"/>
  <c r="O84" i="34"/>
  <c r="O85" i="34"/>
  <c r="O86" i="34"/>
  <c r="O87" i="34"/>
  <c r="O88" i="34"/>
  <c r="O89" i="34"/>
  <c r="O90" i="34"/>
  <c r="O91" i="34"/>
  <c r="O92" i="34"/>
  <c r="O93" i="34"/>
  <c r="O94" i="34"/>
  <c r="O95" i="34"/>
  <c r="O96" i="34"/>
  <c r="O97" i="34"/>
  <c r="O98" i="34"/>
  <c r="O99" i="34"/>
  <c r="O100" i="34"/>
  <c r="O101" i="34"/>
  <c r="O102" i="34"/>
  <c r="O103" i="34"/>
  <c r="O104" i="34"/>
  <c r="O105" i="34"/>
  <c r="O106" i="34"/>
  <c r="O107" i="34"/>
  <c r="O108" i="34"/>
  <c r="O109" i="34"/>
  <c r="O110" i="34"/>
  <c r="O111" i="34"/>
  <c r="O112" i="34"/>
  <c r="O113" i="34"/>
  <c r="O114" i="34"/>
  <c r="O115" i="34"/>
  <c r="O116" i="34"/>
  <c r="O117" i="34"/>
  <c r="O118" i="34"/>
  <c r="O119" i="34"/>
  <c r="O120" i="34"/>
  <c r="O121" i="34"/>
  <c r="O122" i="34"/>
  <c r="O123" i="34"/>
  <c r="O124" i="34"/>
  <c r="O125" i="34"/>
  <c r="O126" i="34"/>
  <c r="O127" i="34"/>
  <c r="O128" i="34"/>
  <c r="O129" i="34"/>
  <c r="O130" i="34"/>
  <c r="O131" i="34"/>
  <c r="O132" i="34"/>
  <c r="O133" i="34"/>
  <c r="O134" i="34"/>
  <c r="O135" i="34"/>
  <c r="O136" i="34"/>
  <c r="O137" i="34"/>
  <c r="O138" i="34"/>
  <c r="O139" i="34"/>
  <c r="O140" i="34"/>
  <c r="O141" i="34"/>
  <c r="O142" i="34"/>
  <c r="O143" i="34"/>
  <c r="O144" i="34"/>
  <c r="J114" i="34"/>
  <c r="J113" i="34"/>
  <c r="J118" i="34"/>
  <c r="J144" i="34" l="1"/>
  <c r="J143" i="34"/>
  <c r="J142" i="34"/>
  <c r="J141" i="34"/>
  <c r="J140" i="34"/>
  <c r="J139" i="34"/>
  <c r="J138" i="34"/>
  <c r="J137" i="34"/>
  <c r="J136" i="34"/>
  <c r="J135" i="34"/>
  <c r="J134" i="34"/>
  <c r="J133" i="34"/>
  <c r="J132" i="34"/>
  <c r="J131" i="34"/>
  <c r="J130" i="34"/>
  <c r="J129" i="34"/>
  <c r="J128" i="34"/>
  <c r="J127" i="34"/>
  <c r="J126" i="34"/>
  <c r="J125" i="34" l="1"/>
  <c r="J124" i="34"/>
  <c r="J123" i="34"/>
  <c r="J122" i="34"/>
  <c r="J121" i="34"/>
  <c r="J120" i="34"/>
  <c r="J119" i="34"/>
  <c r="J112" i="34" l="1"/>
  <c r="J111" i="34"/>
  <c r="J110" i="34"/>
  <c r="J109" i="34" l="1"/>
  <c r="J108" i="34"/>
  <c r="J107" i="34"/>
  <c r="J106" i="34"/>
  <c r="J105" i="34" l="1"/>
  <c r="J104" i="34"/>
  <c r="J103" i="34"/>
  <c r="J102" i="34"/>
  <c r="J101" i="34"/>
  <c r="J100" i="34"/>
  <c r="J99" i="34"/>
  <c r="J98" i="34"/>
  <c r="J97" i="34"/>
  <c r="J96" i="34"/>
  <c r="J95" i="34"/>
  <c r="J94" i="34"/>
  <c r="J93" i="34"/>
  <c r="J92" i="34"/>
  <c r="J91" i="34"/>
  <c r="J90" i="34"/>
  <c r="J89" i="34"/>
  <c r="J2" i="34"/>
  <c r="J88" i="34"/>
  <c r="J87" i="34"/>
  <c r="J86" i="34"/>
  <c r="J85" i="34"/>
  <c r="J117" i="34"/>
  <c r="J84" i="34"/>
  <c r="J83" i="34"/>
  <c r="J82" i="34"/>
  <c r="J81" i="34"/>
  <c r="J80" i="34" l="1"/>
  <c r="J79" i="34"/>
  <c r="J78" i="34"/>
  <c r="J77" i="34"/>
  <c r="J76" i="34"/>
  <c r="J75" i="34"/>
  <c r="J74" i="34"/>
  <c r="J73" i="34"/>
  <c r="J72" i="34"/>
  <c r="J71" i="34"/>
  <c r="J70" i="34"/>
  <c r="J69" i="34"/>
  <c r="J68" i="34"/>
  <c r="J67" i="34"/>
  <c r="J66" i="34"/>
  <c r="J65" i="34"/>
  <c r="J64" i="34"/>
  <c r="J63" i="34"/>
  <c r="J62" i="34"/>
  <c r="J61" i="34"/>
  <c r="J60" i="34"/>
  <c r="J59" i="34"/>
  <c r="J58" i="34"/>
  <c r="J57" i="34"/>
  <c r="J56" i="34"/>
  <c r="J55" i="34"/>
  <c r="J54" i="34"/>
  <c r="J53" i="34"/>
  <c r="J52" i="34"/>
  <c r="J51" i="34"/>
  <c r="J50" i="34"/>
  <c r="J49" i="34"/>
  <c r="J48" i="34"/>
  <c r="J116" i="34"/>
  <c r="J47" i="34"/>
  <c r="J46" i="34"/>
  <c r="J45" i="34"/>
  <c r="J44" i="34"/>
  <c r="J43" i="34"/>
  <c r="J42" i="34"/>
  <c r="J41" i="34"/>
  <c r="J40" i="34"/>
  <c r="J39" i="34"/>
  <c r="J38" i="34"/>
  <c r="J37" i="34"/>
  <c r="J36" i="34"/>
  <c r="J35" i="34"/>
  <c r="J34" i="34"/>
  <c r="J33" i="34"/>
  <c r="J32" i="34"/>
  <c r="J31" i="34"/>
  <c r="J115" i="34"/>
  <c r="J30" i="34"/>
  <c r="J29" i="34"/>
  <c r="J28" i="34"/>
  <c r="J27" i="34"/>
  <c r="J26" i="34"/>
  <c r="J25" i="34"/>
  <c r="J24" i="34"/>
  <c r="J23" i="34"/>
  <c r="J22" i="34"/>
  <c r="J21" i="34"/>
  <c r="J20" i="34"/>
  <c r="J19" i="34"/>
  <c r="J18" i="34"/>
  <c r="J17" i="34"/>
  <c r="J16" i="34"/>
  <c r="J15" i="34"/>
  <c r="J14" i="34"/>
  <c r="J13" i="34"/>
  <c r="J12" i="34"/>
  <c r="J11" i="34"/>
  <c r="J10" i="34"/>
  <c r="J9" i="34"/>
  <c r="J8" i="34"/>
  <c r="J7" i="34"/>
  <c r="J6" i="34"/>
  <c r="J5" i="34"/>
  <c r="J4" i="34"/>
  <c r="J3" i="34"/>
  <c r="J72" i="33" l="1"/>
  <c r="O72" i="33"/>
  <c r="J73" i="33"/>
  <c r="O73" i="33"/>
  <c r="J17" i="33" l="1"/>
  <c r="O17" i="33"/>
  <c r="J11" i="33"/>
  <c r="O11" i="33"/>
  <c r="J25" i="33"/>
  <c r="O25" i="33"/>
  <c r="J24" i="33"/>
  <c r="O24" i="33"/>
  <c r="J23" i="33"/>
  <c r="O23" i="33"/>
  <c r="J22" i="33"/>
  <c r="O22" i="33"/>
  <c r="J21" i="33"/>
  <c r="O21" i="33"/>
  <c r="J20" i="33"/>
  <c r="O20" i="33"/>
  <c r="J19" i="33"/>
  <c r="O19" i="33"/>
  <c r="J18" i="33"/>
  <c r="O18" i="33"/>
  <c r="J16" i="33"/>
  <c r="O16" i="33"/>
  <c r="J15" i="33"/>
  <c r="O15" i="33"/>
  <c r="J14" i="33"/>
  <c r="O14" i="33"/>
  <c r="J13" i="33"/>
  <c r="O13" i="33"/>
  <c r="J12" i="33"/>
  <c r="O12" i="33"/>
  <c r="J9" i="33"/>
  <c r="O9" i="33"/>
  <c r="J10" i="33"/>
  <c r="O10" i="33"/>
  <c r="J8" i="33"/>
  <c r="O8" i="33"/>
  <c r="J7" i="33"/>
  <c r="O7" i="33"/>
  <c r="J6" i="33"/>
  <c r="O6" i="33"/>
  <c r="O126" i="33" l="1"/>
  <c r="O38" i="33"/>
  <c r="J74" i="33" l="1"/>
  <c r="O74" i="33"/>
  <c r="J77" i="33"/>
  <c r="O77" i="33"/>
  <c r="J78" i="33"/>
  <c r="O78" i="33"/>
  <c r="J126" i="33"/>
  <c r="J125" i="33"/>
  <c r="O125" i="33"/>
  <c r="J124" i="33"/>
  <c r="O124" i="33"/>
  <c r="J123" i="33"/>
  <c r="O123" i="33"/>
  <c r="J122" i="33"/>
  <c r="O122" i="33"/>
  <c r="J121" i="33"/>
  <c r="O121" i="33"/>
  <c r="J120" i="33"/>
  <c r="O120" i="33"/>
  <c r="J119" i="33"/>
  <c r="O119" i="33"/>
  <c r="J118" i="33" l="1"/>
  <c r="O118" i="33"/>
  <c r="J117" i="33"/>
  <c r="O117" i="33"/>
  <c r="J116" i="33"/>
  <c r="O116" i="33"/>
  <c r="J115" i="33"/>
  <c r="O115" i="33"/>
  <c r="J114" i="33"/>
  <c r="O114" i="33"/>
  <c r="J113" i="33"/>
  <c r="O113" i="33"/>
  <c r="J112" i="33"/>
  <c r="O112" i="33"/>
  <c r="J111" i="33"/>
  <c r="O111" i="33"/>
  <c r="J110" i="33"/>
  <c r="O110" i="33"/>
  <c r="J109" i="33"/>
  <c r="O109" i="33"/>
  <c r="J108" i="33"/>
  <c r="O108" i="33"/>
  <c r="J107" i="33"/>
  <c r="O107" i="33"/>
  <c r="J106" i="33"/>
  <c r="O106" i="33"/>
  <c r="J105" i="33"/>
  <c r="O105" i="33"/>
  <c r="J104" i="33"/>
  <c r="O104" i="33"/>
  <c r="J103" i="33"/>
  <c r="O103" i="33"/>
  <c r="J102" i="33"/>
  <c r="O102" i="33"/>
  <c r="J101" i="33"/>
  <c r="O101" i="33"/>
  <c r="J100" i="33"/>
  <c r="O100" i="33"/>
  <c r="J99" i="33"/>
  <c r="O99" i="33"/>
  <c r="J98" i="33"/>
  <c r="O98" i="33"/>
  <c r="J97" i="33"/>
  <c r="O97" i="33"/>
  <c r="J94" i="33"/>
  <c r="O94" i="33"/>
  <c r="J96" i="33"/>
  <c r="O96" i="33"/>
  <c r="J95" i="33"/>
  <c r="O95" i="33"/>
  <c r="J93" i="33"/>
  <c r="O93" i="33"/>
  <c r="J92" i="33"/>
  <c r="O92" i="33"/>
  <c r="J91" i="33"/>
  <c r="O91" i="33"/>
  <c r="J90" i="33"/>
  <c r="O90" i="33"/>
  <c r="J89" i="33"/>
  <c r="O89" i="33"/>
  <c r="J88" i="33"/>
  <c r="O88" i="33"/>
  <c r="J87" i="33"/>
  <c r="O87" i="33"/>
  <c r="J86" i="33"/>
  <c r="O86" i="33"/>
  <c r="J85" i="33"/>
  <c r="O85" i="33"/>
  <c r="J48" i="33" l="1"/>
  <c r="O48" i="33"/>
  <c r="J47" i="33"/>
  <c r="O47" i="33"/>
  <c r="J53" i="33"/>
  <c r="O53" i="33"/>
  <c r="J63" i="33"/>
  <c r="O63" i="33"/>
  <c r="J62" i="33"/>
  <c r="O62" i="33"/>
  <c r="J65" i="33"/>
  <c r="O65" i="33"/>
  <c r="J61" i="33"/>
  <c r="O61" i="33"/>
  <c r="J60" i="33"/>
  <c r="O60" i="33"/>
  <c r="J59" i="33"/>
  <c r="O59" i="33"/>
  <c r="J46" i="33"/>
  <c r="O46" i="33"/>
  <c r="J67" i="33"/>
  <c r="O67" i="33"/>
  <c r="J56" i="33"/>
  <c r="O56" i="33"/>
  <c r="J71" i="33"/>
  <c r="O71" i="33"/>
  <c r="J66" i="33"/>
  <c r="O66" i="33"/>
  <c r="J58" i="33"/>
  <c r="O58" i="33"/>
  <c r="J45" i="33"/>
  <c r="O45" i="33"/>
  <c r="J64" i="33"/>
  <c r="O64" i="33"/>
  <c r="J70" i="33"/>
  <c r="O70" i="33"/>
  <c r="J69" i="33"/>
  <c r="O69" i="33"/>
  <c r="J76" i="33"/>
  <c r="O76" i="33"/>
  <c r="J84" i="33"/>
  <c r="O84" i="33"/>
  <c r="J83" i="33"/>
  <c r="O83" i="33"/>
  <c r="J82" i="33"/>
  <c r="O82" i="33"/>
  <c r="J81" i="33"/>
  <c r="O81" i="33"/>
  <c r="J75" i="33" l="1"/>
  <c r="O75" i="33"/>
  <c r="J80" i="33"/>
  <c r="O80" i="33"/>
  <c r="J79" i="33"/>
  <c r="O79" i="33"/>
  <c r="J68" i="33"/>
  <c r="O68" i="33"/>
  <c r="J34" i="33"/>
  <c r="O34" i="33"/>
  <c r="J30" i="33"/>
  <c r="O30" i="33"/>
  <c r="J29" i="33"/>
  <c r="O29" i="33"/>
  <c r="J5" i="33"/>
  <c r="O5" i="33"/>
  <c r="J4" i="33"/>
  <c r="O4" i="33"/>
  <c r="J33" i="33"/>
  <c r="O33" i="33"/>
  <c r="J28" i="33"/>
  <c r="O28" i="33"/>
  <c r="J2" i="33"/>
  <c r="O2" i="33"/>
  <c r="J27" i="33"/>
  <c r="O27" i="33"/>
  <c r="J32" i="33"/>
  <c r="O32" i="33"/>
  <c r="J31" i="33"/>
  <c r="O31" i="33"/>
  <c r="J26" i="33"/>
  <c r="O26" i="33"/>
  <c r="J3" i="33"/>
  <c r="O3" i="33"/>
  <c r="J43" i="33"/>
  <c r="O43" i="33"/>
  <c r="J42" i="33"/>
  <c r="O42" i="33"/>
  <c r="J52" i="33"/>
  <c r="O52" i="33"/>
  <c r="J41" i="33"/>
  <c r="O41" i="33"/>
  <c r="J40" i="33"/>
  <c r="O40" i="33"/>
  <c r="J39" i="33"/>
  <c r="O39" i="33"/>
  <c r="J35" i="33"/>
  <c r="O35" i="33"/>
  <c r="J38" i="33"/>
  <c r="J44" i="33"/>
  <c r="O44" i="33"/>
  <c r="J37" i="33"/>
  <c r="O37" i="33"/>
  <c r="J36" i="33"/>
  <c r="O36" i="33"/>
  <c r="J51" i="33"/>
  <c r="O51" i="33"/>
  <c r="J55" i="33"/>
  <c r="O55" i="33"/>
  <c r="J57" i="33"/>
  <c r="O57" i="33"/>
  <c r="J54" i="33"/>
  <c r="O54" i="33"/>
  <c r="J50" i="33"/>
  <c r="O50" i="33"/>
  <c r="O49" i="33"/>
  <c r="J49" i="33"/>
  <c r="J11" i="32"/>
  <c r="O11" i="32"/>
  <c r="J32" i="32"/>
  <c r="O32" i="32"/>
  <c r="J96" i="32" l="1"/>
  <c r="O96" i="32"/>
  <c r="J95" i="32"/>
  <c r="O95" i="32"/>
  <c r="J94" i="32"/>
  <c r="O94" i="32"/>
  <c r="J93" i="32"/>
  <c r="O93" i="32"/>
  <c r="J92" i="32"/>
  <c r="O92" i="32"/>
  <c r="J91" i="32"/>
  <c r="O91" i="32"/>
  <c r="J90" i="32"/>
  <c r="O90" i="32"/>
  <c r="J89" i="32"/>
  <c r="O89" i="32"/>
  <c r="J88" i="32" l="1"/>
  <c r="O88" i="32"/>
  <c r="J87" i="32"/>
  <c r="O87" i="32"/>
  <c r="J86" i="32"/>
  <c r="O86" i="32"/>
  <c r="J85" i="32"/>
  <c r="O85" i="32"/>
  <c r="J84" i="32"/>
  <c r="O84" i="32"/>
  <c r="J83" i="32"/>
  <c r="O83" i="32"/>
  <c r="J82" i="32"/>
  <c r="O82" i="32"/>
  <c r="J81" i="32"/>
  <c r="O81" i="32"/>
  <c r="J80" i="32"/>
  <c r="O80" i="32"/>
  <c r="J79" i="32" l="1"/>
  <c r="O79" i="32"/>
  <c r="J78" i="32"/>
  <c r="O78" i="32"/>
  <c r="J77" i="32"/>
  <c r="O77" i="32"/>
  <c r="J76" i="32"/>
  <c r="O76" i="32"/>
  <c r="J75" i="32"/>
  <c r="O75" i="32"/>
  <c r="J74" i="32" l="1"/>
  <c r="O74" i="32"/>
  <c r="J73" i="32"/>
  <c r="O73" i="32"/>
  <c r="J72" i="32"/>
  <c r="O72" i="32"/>
  <c r="J71" i="32"/>
  <c r="O71" i="32"/>
  <c r="J70" i="32"/>
  <c r="O70" i="32"/>
  <c r="J69" i="32"/>
  <c r="O69" i="32"/>
  <c r="J68" i="32"/>
  <c r="O68" i="32"/>
  <c r="J67" i="32"/>
  <c r="O67" i="32"/>
  <c r="J66" i="32"/>
  <c r="O66" i="32"/>
  <c r="J65" i="32"/>
  <c r="O65" i="32"/>
  <c r="J64" i="32"/>
  <c r="O64" i="32"/>
  <c r="J63" i="32"/>
  <c r="O63" i="32"/>
  <c r="J62" i="32"/>
  <c r="O62" i="32"/>
  <c r="J61" i="32"/>
  <c r="O61" i="32"/>
  <c r="J60" i="32"/>
  <c r="O60" i="32"/>
  <c r="O2" i="32"/>
  <c r="O3" i="32"/>
  <c r="O4" i="32"/>
  <c r="O5" i="32"/>
  <c r="O6" i="32"/>
  <c r="O7" i="32"/>
  <c r="O8" i="32"/>
  <c r="O9" i="32"/>
  <c r="O10" i="32"/>
  <c r="O12" i="32"/>
  <c r="O13" i="32"/>
  <c r="O14" i="32"/>
  <c r="O15" i="32"/>
  <c r="O16" i="32"/>
  <c r="O17" i="32"/>
  <c r="O18" i="32"/>
  <c r="O19" i="32"/>
  <c r="O20" i="32"/>
  <c r="O21" i="32"/>
  <c r="O22" i="32"/>
  <c r="O23" i="32"/>
  <c r="O24" i="32"/>
  <c r="O25" i="32"/>
  <c r="O26" i="32"/>
  <c r="O27" i="32"/>
  <c r="O28" i="32"/>
  <c r="O29" i="32"/>
  <c r="O30" i="32"/>
  <c r="O31" i="32"/>
  <c r="O33" i="32"/>
  <c r="O34" i="32"/>
  <c r="O35" i="32"/>
  <c r="O36" i="32"/>
  <c r="O37" i="32"/>
  <c r="O38" i="32"/>
  <c r="O39" i="32"/>
  <c r="O40" i="32"/>
  <c r="O41" i="32"/>
  <c r="O42" i="32"/>
  <c r="O43" i="32"/>
  <c r="O44" i="32"/>
  <c r="O45" i="32"/>
  <c r="O46" i="32"/>
  <c r="O47" i="32"/>
  <c r="O48" i="32"/>
  <c r="O49" i="32"/>
  <c r="O50" i="32"/>
  <c r="O51" i="32"/>
  <c r="O52" i="32"/>
  <c r="O53" i="32"/>
  <c r="O54" i="32"/>
  <c r="O55" i="32"/>
  <c r="O56" i="32"/>
  <c r="O57" i="32"/>
  <c r="O58" i="32"/>
  <c r="O59" i="32"/>
  <c r="J59" i="32"/>
  <c r="J58" i="32"/>
  <c r="J57" i="32" l="1"/>
  <c r="J56" i="32"/>
  <c r="J55" i="32"/>
  <c r="J54" i="32"/>
  <c r="J53" i="32"/>
  <c r="J52" i="32"/>
  <c r="J51" i="32"/>
  <c r="J50" i="32"/>
  <c r="J49" i="32"/>
  <c r="J48" i="32"/>
  <c r="J47" i="32"/>
  <c r="J46" i="32"/>
  <c r="J45" i="32"/>
  <c r="J44" i="32"/>
  <c r="J43" i="32"/>
  <c r="J42" i="32"/>
  <c r="J41" i="32"/>
  <c r="J40" i="32"/>
  <c r="J39" i="32"/>
  <c r="J38" i="32"/>
  <c r="J37" i="32"/>
  <c r="J36" i="32"/>
  <c r="J35" i="32"/>
  <c r="J34" i="32"/>
  <c r="J33" i="32"/>
  <c r="J31" i="32"/>
  <c r="J30" i="32"/>
  <c r="J29" i="32"/>
  <c r="J28" i="32"/>
  <c r="J27" i="32"/>
  <c r="J26" i="32"/>
  <c r="J25" i="32"/>
  <c r="J24" i="32"/>
  <c r="J23" i="32"/>
  <c r="J22" i="32"/>
  <c r="J21" i="32"/>
  <c r="J20" i="32"/>
  <c r="J19" i="32" l="1"/>
  <c r="J12" i="32"/>
  <c r="J18" i="32"/>
  <c r="J17" i="32"/>
  <c r="J16" i="32"/>
  <c r="J15" i="32"/>
  <c r="J14" i="32"/>
  <c r="J13" i="32"/>
  <c r="J10" i="32"/>
  <c r="J9" i="32"/>
  <c r="J8" i="32"/>
  <c r="J7" i="32"/>
  <c r="J6" i="32"/>
  <c r="J5" i="32"/>
  <c r="J4" i="32"/>
  <c r="J3" i="32"/>
  <c r="J2" i="32"/>
  <c r="J42" i="31" l="1"/>
  <c r="O42" i="31"/>
  <c r="J44" i="31"/>
  <c r="O44" i="31"/>
  <c r="J45" i="31"/>
  <c r="O45" i="31"/>
  <c r="J34" i="31"/>
  <c r="O34" i="31"/>
  <c r="J23" i="31"/>
  <c r="O23" i="31"/>
  <c r="J10" i="31"/>
  <c r="O10" i="31"/>
  <c r="J31" i="31"/>
  <c r="O31" i="31"/>
  <c r="J40" i="31"/>
  <c r="O40" i="31"/>
  <c r="J48" i="31"/>
  <c r="O48" i="31"/>
  <c r="J47" i="31"/>
  <c r="O47" i="31"/>
  <c r="J46" i="31"/>
  <c r="O46" i="31"/>
  <c r="J43" i="31"/>
  <c r="O43" i="31"/>
  <c r="J41" i="31"/>
  <c r="O41" i="31"/>
  <c r="J39" i="31" l="1"/>
  <c r="O39" i="31"/>
  <c r="J38" i="31"/>
  <c r="O38" i="31"/>
  <c r="J37" i="31"/>
  <c r="O37" i="31"/>
  <c r="J36" i="31"/>
  <c r="O36" i="31"/>
  <c r="J35" i="31"/>
  <c r="O35" i="31"/>
  <c r="J33" i="31"/>
  <c r="O33" i="31"/>
  <c r="J32" i="31"/>
  <c r="O32" i="31"/>
  <c r="J30" i="31"/>
  <c r="O30" i="31"/>
  <c r="J29" i="31"/>
  <c r="O29" i="31"/>
  <c r="J28" i="31"/>
  <c r="O28" i="31"/>
  <c r="J27" i="31" l="1"/>
  <c r="O27" i="31"/>
  <c r="J26" i="31"/>
  <c r="O26" i="31"/>
  <c r="J25" i="31"/>
  <c r="O25" i="31"/>
  <c r="J24" i="31"/>
  <c r="O24" i="31"/>
  <c r="J2" i="30"/>
  <c r="J3" i="30"/>
  <c r="J4" i="30"/>
  <c r="J5" i="30"/>
  <c r="J6" i="30"/>
  <c r="J7" i="30"/>
  <c r="J8" i="30"/>
  <c r="J9" i="30"/>
  <c r="J10" i="30"/>
  <c r="J11" i="30"/>
  <c r="J12" i="30"/>
  <c r="J13" i="30"/>
  <c r="J14" i="30"/>
  <c r="J15" i="30"/>
  <c r="J16" i="30"/>
  <c r="J17" i="30"/>
  <c r="J18" i="30"/>
  <c r="J19" i="30"/>
  <c r="J20" i="30"/>
  <c r="J21" i="30"/>
  <c r="J22" i="30"/>
  <c r="J23" i="30"/>
  <c r="J24" i="30"/>
  <c r="J25" i="30"/>
  <c r="J26" i="30"/>
  <c r="J27" i="30"/>
  <c r="J28" i="30"/>
  <c r="J29" i="30"/>
  <c r="J30" i="30"/>
  <c r="J31" i="30"/>
  <c r="J32" i="30"/>
  <c r="J33" i="30"/>
  <c r="J34" i="30"/>
  <c r="J35" i="30"/>
  <c r="J36" i="30"/>
  <c r="J37" i="30"/>
  <c r="J38" i="30"/>
  <c r="J39" i="30"/>
  <c r="J22" i="31"/>
  <c r="O22" i="31"/>
  <c r="J21" i="31"/>
  <c r="O21" i="31"/>
  <c r="J20" i="31"/>
  <c r="O20" i="31"/>
  <c r="J19" i="31"/>
  <c r="O19" i="31"/>
  <c r="J18" i="31" l="1"/>
  <c r="O18" i="31"/>
  <c r="J17" i="31"/>
  <c r="O17" i="31"/>
  <c r="J16" i="31"/>
  <c r="O16" i="31"/>
  <c r="J15" i="31"/>
  <c r="O15" i="31"/>
  <c r="J14" i="31"/>
  <c r="O14" i="31"/>
  <c r="J13" i="31"/>
  <c r="O13" i="31"/>
  <c r="J12" i="31"/>
  <c r="O12" i="31"/>
  <c r="J11" i="31"/>
  <c r="O11" i="31"/>
  <c r="J9" i="31"/>
  <c r="O9" i="31"/>
  <c r="J8" i="31"/>
  <c r="O8" i="31"/>
  <c r="J2" i="31"/>
  <c r="J3" i="31"/>
  <c r="J4" i="31"/>
  <c r="J5" i="31"/>
  <c r="J6" i="31"/>
  <c r="J7" i="31"/>
  <c r="O7" i="31"/>
  <c r="O6" i="31"/>
  <c r="O5" i="31"/>
  <c r="O4" i="31"/>
  <c r="O3" i="31" l="1"/>
  <c r="O2" i="31"/>
  <c r="O34" i="30"/>
  <c r="O35" i="30"/>
  <c r="O36" i="30"/>
  <c r="O37" i="30"/>
  <c r="O38" i="30"/>
  <c r="O39" i="30"/>
  <c r="O16" i="30" l="1"/>
  <c r="O2" i="30"/>
  <c r="O3" i="30"/>
  <c r="O4" i="30"/>
  <c r="O5" i="30"/>
  <c r="O6" i="30"/>
  <c r="O7" i="30"/>
  <c r="O8" i="30"/>
  <c r="O9" i="30"/>
  <c r="O10" i="30"/>
  <c r="O11" i="30"/>
  <c r="O12" i="30"/>
  <c r="O13" i="30"/>
  <c r="O14" i="30"/>
  <c r="O15" i="30"/>
  <c r="O17" i="30"/>
  <c r="O18" i="30"/>
  <c r="O19" i="30"/>
  <c r="O20" i="30"/>
  <c r="O21" i="30"/>
  <c r="O22" i="30"/>
  <c r="O23" i="30"/>
  <c r="O24" i="30"/>
  <c r="O25" i="30"/>
  <c r="O26" i="30"/>
  <c r="O27" i="30"/>
  <c r="O28" i="30"/>
  <c r="O29" i="30"/>
  <c r="O30" i="30"/>
  <c r="O31" i="30"/>
  <c r="O32" i="30"/>
  <c r="O33" i="30"/>
  <c r="J80" i="29" l="1"/>
  <c r="O80" i="29"/>
  <c r="J79" i="29"/>
  <c r="O79" i="29"/>
  <c r="J78" i="29"/>
  <c r="O78" i="29"/>
  <c r="J77" i="29"/>
  <c r="O77" i="29"/>
  <c r="J76" i="29"/>
  <c r="O76" i="29"/>
  <c r="J75" i="29"/>
  <c r="O75" i="29"/>
  <c r="J74" i="29"/>
  <c r="O74" i="29"/>
  <c r="J73" i="29"/>
  <c r="O73" i="29"/>
  <c r="J71" i="29"/>
  <c r="O71" i="29"/>
  <c r="J67" i="29"/>
  <c r="O67" i="29"/>
  <c r="J72" i="29"/>
  <c r="O72" i="29"/>
  <c r="J70" i="29"/>
  <c r="O70" i="29"/>
  <c r="J69" i="29"/>
  <c r="O69" i="29"/>
  <c r="J68" i="29"/>
  <c r="O68" i="29"/>
  <c r="J66" i="29"/>
  <c r="O66" i="29"/>
  <c r="J65" i="29"/>
  <c r="O65" i="29"/>
  <c r="J64" i="29"/>
  <c r="O64" i="29"/>
  <c r="J63" i="29"/>
  <c r="O63" i="29"/>
  <c r="J62" i="29"/>
  <c r="O62" i="29"/>
  <c r="J61" i="29"/>
  <c r="O61" i="29"/>
  <c r="J60" i="29"/>
  <c r="O60" i="29"/>
  <c r="J59" i="29"/>
  <c r="O59" i="29"/>
  <c r="J58" i="29"/>
  <c r="O58" i="29"/>
  <c r="J57" i="29"/>
  <c r="O57" i="29"/>
  <c r="J56" i="29"/>
  <c r="O56" i="29"/>
  <c r="J55" i="29"/>
  <c r="O55" i="29"/>
  <c r="J54" i="29"/>
  <c r="O54" i="29"/>
  <c r="J53" i="29"/>
  <c r="O53" i="29"/>
  <c r="J52" i="29"/>
  <c r="O52" i="29"/>
  <c r="J51" i="29"/>
  <c r="O51" i="29"/>
  <c r="J50" i="29" l="1"/>
  <c r="O50" i="29"/>
  <c r="J49" i="29"/>
  <c r="O49" i="29"/>
  <c r="J48" i="29"/>
  <c r="O48" i="29"/>
  <c r="J47" i="29"/>
  <c r="O47" i="29"/>
  <c r="J46" i="29"/>
  <c r="O46" i="29"/>
  <c r="J45" i="29"/>
  <c r="O45" i="29"/>
  <c r="J44" i="29"/>
  <c r="O44" i="29"/>
  <c r="J43" i="29"/>
  <c r="O43" i="29"/>
  <c r="J42" i="29"/>
  <c r="O42" i="29"/>
  <c r="J41" i="29"/>
  <c r="O41" i="29"/>
  <c r="J40" i="29"/>
  <c r="O40" i="29"/>
  <c r="J39" i="29"/>
  <c r="O39" i="29"/>
  <c r="J38" i="29"/>
  <c r="O38" i="29"/>
  <c r="J37" i="29"/>
  <c r="O37" i="29"/>
  <c r="J36" i="29"/>
  <c r="O36" i="29"/>
  <c r="J35" i="29"/>
  <c r="O35" i="29"/>
  <c r="J34" i="29"/>
  <c r="O34" i="29"/>
  <c r="J33" i="29"/>
  <c r="O33" i="29"/>
  <c r="J32" i="29"/>
  <c r="O32" i="29"/>
  <c r="J31" i="29"/>
  <c r="O31" i="29"/>
  <c r="J30" i="29"/>
  <c r="O30" i="29"/>
  <c r="J29" i="29"/>
  <c r="O29" i="29"/>
  <c r="J28" i="29"/>
  <c r="O28" i="29"/>
  <c r="J27" i="29"/>
  <c r="O27" i="29"/>
  <c r="J26" i="29"/>
  <c r="O26" i="29"/>
  <c r="J25" i="29"/>
  <c r="O25" i="29"/>
  <c r="J24" i="29"/>
  <c r="O24" i="29"/>
  <c r="J23" i="29" l="1"/>
  <c r="O23" i="29"/>
  <c r="J22" i="29"/>
  <c r="O22" i="29"/>
  <c r="J21" i="29"/>
  <c r="O21" i="29"/>
  <c r="J20" i="29"/>
  <c r="O20" i="29"/>
  <c r="J19" i="29"/>
  <c r="O19" i="29"/>
  <c r="J18" i="29"/>
  <c r="O18" i="29"/>
  <c r="J17" i="29"/>
  <c r="O17" i="29"/>
  <c r="J16" i="29"/>
  <c r="O16" i="29"/>
  <c r="J15" i="29"/>
  <c r="O15" i="29"/>
  <c r="J14" i="29"/>
  <c r="O14" i="29"/>
  <c r="J13" i="29" l="1"/>
  <c r="O13" i="29"/>
  <c r="J12" i="29"/>
  <c r="O12" i="29"/>
  <c r="J11" i="29"/>
  <c r="O11" i="29"/>
  <c r="J10" i="29"/>
  <c r="O10" i="29"/>
  <c r="J9" i="29"/>
  <c r="O9" i="29"/>
  <c r="J8" i="29"/>
  <c r="O8" i="29"/>
  <c r="J7" i="29"/>
  <c r="O7" i="29"/>
  <c r="J6" i="29"/>
  <c r="O6" i="29"/>
  <c r="J5" i="29"/>
  <c r="O5" i="29"/>
  <c r="J4" i="29"/>
  <c r="O4" i="29"/>
  <c r="J3" i="29"/>
  <c r="O3" i="29"/>
  <c r="O2" i="29"/>
  <c r="J2" i="29"/>
  <c r="J81" i="28"/>
  <c r="O81" i="28"/>
  <c r="J80" i="28"/>
  <c r="O80" i="28"/>
  <c r="J79" i="28"/>
  <c r="O79" i="28"/>
  <c r="J78" i="28"/>
  <c r="O78" i="28"/>
  <c r="J77" i="28"/>
  <c r="O77" i="28"/>
  <c r="J76" i="28"/>
  <c r="O76" i="28"/>
  <c r="J75" i="28"/>
  <c r="O75" i="28"/>
  <c r="J74" i="28"/>
  <c r="O74" i="28"/>
  <c r="J73" i="28"/>
  <c r="O73" i="28"/>
  <c r="J72" i="28"/>
  <c r="O72" i="28"/>
  <c r="J71" i="28"/>
  <c r="O71" i="28"/>
  <c r="J70" i="28"/>
  <c r="O70" i="28"/>
  <c r="J69" i="28"/>
  <c r="O69" i="28"/>
  <c r="J68" i="28"/>
  <c r="O68" i="28"/>
  <c r="J67" i="28"/>
  <c r="O67" i="28"/>
  <c r="J66" i="28"/>
  <c r="O66" i="28"/>
  <c r="J65" i="28"/>
  <c r="O65" i="28"/>
  <c r="J64" i="28"/>
  <c r="O64" i="28"/>
  <c r="J52" i="28"/>
  <c r="O52" i="28"/>
  <c r="J63" i="28"/>
  <c r="O63" i="28"/>
  <c r="J62" i="28"/>
  <c r="O62" i="28"/>
  <c r="J61" i="28"/>
  <c r="O61" i="28"/>
  <c r="J60" i="28"/>
  <c r="O60" i="28"/>
  <c r="J59" i="28"/>
  <c r="O59" i="28"/>
  <c r="J58" i="28"/>
  <c r="O58" i="28"/>
  <c r="J57" i="28"/>
  <c r="O57" i="28"/>
  <c r="J56" i="28"/>
  <c r="O56" i="28"/>
  <c r="J55" i="28"/>
  <c r="O55" i="28"/>
  <c r="J54" i="28" l="1"/>
  <c r="O54" i="28"/>
  <c r="J53" i="28"/>
  <c r="O53" i="28"/>
  <c r="J51" i="28"/>
  <c r="O51" i="28"/>
  <c r="J50" i="28"/>
  <c r="O50" i="28"/>
  <c r="J49" i="28"/>
  <c r="O49" i="28"/>
  <c r="J48" i="28"/>
  <c r="O48" i="28"/>
  <c r="J47" i="28"/>
  <c r="O47" i="28"/>
  <c r="J46" i="28"/>
  <c r="O46" i="28"/>
  <c r="J45" i="28"/>
  <c r="O45" i="28"/>
  <c r="J44" i="28"/>
  <c r="O44" i="28"/>
  <c r="J43" i="28"/>
  <c r="O43" i="28"/>
  <c r="J42" i="28"/>
  <c r="O42" i="28"/>
  <c r="J41" i="28"/>
  <c r="O41" i="28"/>
  <c r="J40" i="28"/>
  <c r="O40" i="28"/>
  <c r="J39" i="28"/>
  <c r="O39" i="28"/>
  <c r="J38" i="28"/>
  <c r="O38" i="28"/>
  <c r="J37" i="28"/>
  <c r="O37" i="28"/>
  <c r="J36" i="28"/>
  <c r="O36" i="28"/>
  <c r="J35" i="28"/>
  <c r="O35" i="28"/>
  <c r="J34" i="28"/>
  <c r="O34" i="28"/>
  <c r="J33" i="28"/>
  <c r="O33" i="28"/>
  <c r="J32" i="28"/>
  <c r="O32" i="28"/>
  <c r="J31" i="28"/>
  <c r="O31" i="28"/>
  <c r="J30" i="28"/>
  <c r="O30" i="28"/>
  <c r="J29" i="28"/>
  <c r="O29" i="28"/>
  <c r="J28" i="28"/>
  <c r="O28" i="28"/>
  <c r="J27" i="28"/>
  <c r="O27" i="28"/>
  <c r="J26" i="28"/>
  <c r="O26" i="28"/>
  <c r="J25" i="28"/>
  <c r="O25" i="28"/>
  <c r="J24" i="28"/>
  <c r="O24" i="28"/>
  <c r="J23" i="28"/>
  <c r="O23" i="28"/>
  <c r="J22" i="28"/>
  <c r="O22" i="28"/>
  <c r="J21" i="28"/>
  <c r="O21" i="28"/>
  <c r="J20" i="28"/>
  <c r="O20" i="28"/>
  <c r="J19" i="28"/>
  <c r="O19" i="28"/>
  <c r="J18" i="28"/>
  <c r="O18" i="28"/>
  <c r="J17" i="28"/>
  <c r="O17" i="28"/>
  <c r="J16" i="28"/>
  <c r="O16" i="28"/>
  <c r="J15" i="28"/>
  <c r="O15" i="28"/>
  <c r="J14" i="28"/>
  <c r="O14" i="28"/>
  <c r="J13" i="28"/>
  <c r="O13" i="28"/>
  <c r="J12" i="28"/>
  <c r="O12" i="28"/>
  <c r="J11" i="28"/>
  <c r="O11" i="28"/>
  <c r="J10" i="28"/>
  <c r="O10" i="28"/>
  <c r="J9" i="28"/>
  <c r="O9" i="28"/>
  <c r="J8" i="28"/>
  <c r="O8" i="28"/>
  <c r="J7" i="28"/>
  <c r="O7" i="28"/>
  <c r="J6" i="28"/>
  <c r="O6" i="28"/>
  <c r="J5" i="28"/>
  <c r="O5" i="28"/>
  <c r="J4" i="28" l="1"/>
  <c r="O4" i="28"/>
  <c r="J3" i="28"/>
  <c r="O3" i="28"/>
  <c r="O2" i="28"/>
  <c r="J2" i="28"/>
  <c r="J80" i="27" l="1"/>
  <c r="O80" i="27"/>
  <c r="J79" i="27"/>
  <c r="O79" i="27"/>
  <c r="J78" i="27"/>
  <c r="O78" i="27"/>
  <c r="J77" i="27"/>
  <c r="O77" i="27"/>
  <c r="J76" i="27"/>
  <c r="O76" i="27"/>
  <c r="J82" i="27"/>
  <c r="O82" i="27"/>
  <c r="J75" i="27"/>
  <c r="O75" i="27"/>
  <c r="J74" i="27"/>
  <c r="O74" i="27"/>
  <c r="J73" i="27"/>
  <c r="O73" i="27"/>
  <c r="J72" i="27"/>
  <c r="O72" i="27"/>
  <c r="J71" i="27"/>
  <c r="O71" i="27"/>
  <c r="J70" i="27"/>
  <c r="O70" i="27"/>
  <c r="J69" i="27"/>
  <c r="O69" i="27"/>
  <c r="J68" i="27"/>
  <c r="O68" i="27"/>
  <c r="J67" i="27"/>
  <c r="O67" i="27"/>
  <c r="J81" i="27"/>
  <c r="O81" i="27"/>
  <c r="J66" i="27"/>
  <c r="O66" i="27"/>
  <c r="J65" i="27"/>
  <c r="O65" i="27"/>
  <c r="J64" i="27"/>
  <c r="O64" i="27"/>
  <c r="J63" i="27"/>
  <c r="O63" i="27"/>
  <c r="J60" i="27"/>
  <c r="O60" i="27"/>
  <c r="J62" i="27"/>
  <c r="O62" i="27"/>
  <c r="J61" i="27"/>
  <c r="O61" i="27"/>
  <c r="J59" i="27"/>
  <c r="O59" i="27"/>
  <c r="J58" i="27"/>
  <c r="O58" i="27"/>
  <c r="J57" i="27"/>
  <c r="O57" i="27"/>
  <c r="J54" i="27"/>
  <c r="O54" i="27"/>
  <c r="J52" i="27"/>
  <c r="O52" i="27"/>
  <c r="J56" i="27"/>
  <c r="O56" i="27"/>
  <c r="J55" i="27"/>
  <c r="O55" i="27"/>
  <c r="J53" i="27"/>
  <c r="O53" i="27"/>
  <c r="J46" i="27" l="1"/>
  <c r="O46" i="27"/>
  <c r="J45" i="27"/>
  <c r="O45" i="27"/>
  <c r="J44" i="27"/>
  <c r="O44" i="27"/>
  <c r="J43" i="27"/>
  <c r="O43" i="27"/>
  <c r="J51" i="27"/>
  <c r="O51" i="27"/>
  <c r="J41" i="27"/>
  <c r="O41" i="27"/>
  <c r="J40" i="27"/>
  <c r="O40" i="27"/>
  <c r="J39" i="27"/>
  <c r="O39" i="27"/>
  <c r="J50" i="27"/>
  <c r="O50" i="27"/>
  <c r="J38" i="27" l="1"/>
  <c r="O38" i="27"/>
  <c r="J37" i="27"/>
  <c r="O37" i="27"/>
  <c r="J36" i="27"/>
  <c r="O36" i="27"/>
  <c r="J35" i="27"/>
  <c r="O35" i="27"/>
  <c r="J34" i="27"/>
  <c r="O34" i="27"/>
  <c r="O28" i="27"/>
  <c r="O29" i="27"/>
  <c r="O47" i="27"/>
  <c r="O30" i="27"/>
  <c r="O31" i="27"/>
  <c r="O49" i="27"/>
  <c r="O32" i="27"/>
  <c r="O33" i="27"/>
  <c r="O48" i="27"/>
  <c r="J28" i="27"/>
  <c r="J29" i="27"/>
  <c r="J47" i="27"/>
  <c r="J30" i="27"/>
  <c r="J31" i="27"/>
  <c r="J49" i="27"/>
  <c r="J32" i="27"/>
  <c r="J33" i="27"/>
  <c r="J48" i="27"/>
  <c r="J22" i="27"/>
  <c r="O22" i="27"/>
  <c r="O6" i="27" l="1"/>
  <c r="O7" i="27"/>
  <c r="O8" i="27"/>
  <c r="O9" i="27"/>
  <c r="O10" i="27"/>
  <c r="O11" i="27"/>
  <c r="O42" i="27"/>
  <c r="O13" i="27"/>
  <c r="O14" i="27"/>
  <c r="O15" i="27"/>
  <c r="O16" i="27"/>
  <c r="O17" i="27"/>
  <c r="O18" i="27"/>
  <c r="O19" i="27"/>
  <c r="O20" i="27"/>
  <c r="O21" i="27"/>
  <c r="O23" i="27"/>
  <c r="O24" i="27"/>
  <c r="O25" i="27"/>
  <c r="O26" i="27"/>
  <c r="O27" i="27"/>
  <c r="J6" i="27"/>
  <c r="J7" i="27"/>
  <c r="J8" i="27"/>
  <c r="J9" i="27"/>
  <c r="J10" i="27"/>
  <c r="J11" i="27"/>
  <c r="J42" i="27"/>
  <c r="J13" i="27"/>
  <c r="J14" i="27"/>
  <c r="J15" i="27"/>
  <c r="J16" i="27"/>
  <c r="J17" i="27"/>
  <c r="J18" i="27"/>
  <c r="J19" i="27"/>
  <c r="J20" i="27"/>
  <c r="J21" i="27"/>
  <c r="J23" i="27"/>
  <c r="J24" i="27"/>
  <c r="J25" i="27"/>
  <c r="J26" i="27"/>
  <c r="J27" i="27"/>
  <c r="J5" i="27"/>
  <c r="O5" i="27"/>
  <c r="J4" i="27"/>
  <c r="O4" i="27"/>
  <c r="J3" i="27"/>
  <c r="O3" i="27"/>
  <c r="J12" i="27"/>
  <c r="O12" i="27"/>
  <c r="O2" i="27"/>
  <c r="J2" i="27"/>
  <c r="O82" i="26"/>
  <c r="J65" i="26"/>
  <c r="O65" i="26"/>
  <c r="J96" i="26" l="1"/>
  <c r="O96" i="26"/>
  <c r="J95" i="26"/>
  <c r="O95" i="26"/>
  <c r="J94" i="26"/>
  <c r="O94" i="26"/>
  <c r="J93" i="26"/>
  <c r="O93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O72" i="26"/>
  <c r="O73" i="26"/>
  <c r="O74" i="26"/>
  <c r="O75" i="26"/>
  <c r="O76" i="26"/>
  <c r="O77" i="26"/>
  <c r="O78" i="26"/>
  <c r="O79" i="26"/>
  <c r="O80" i="26"/>
  <c r="O81" i="26"/>
  <c r="O83" i="26"/>
  <c r="O84" i="26"/>
  <c r="O85" i="26"/>
  <c r="O86" i="26"/>
  <c r="O87" i="26"/>
  <c r="O88" i="26"/>
  <c r="O89" i="26"/>
  <c r="O90" i="26"/>
  <c r="O91" i="26"/>
  <c r="O92" i="26"/>
  <c r="J26" i="26"/>
  <c r="O26" i="26"/>
  <c r="O32" i="26" l="1"/>
  <c r="O37" i="26"/>
  <c r="O41" i="26"/>
  <c r="O54" i="26"/>
  <c r="O34" i="26"/>
  <c r="O38" i="26"/>
  <c r="O39" i="26"/>
  <c r="O43" i="26"/>
  <c r="O44" i="26"/>
  <c r="O46" i="26"/>
  <c r="O47" i="26"/>
  <c r="O48" i="26"/>
  <c r="O49" i="26"/>
  <c r="O50" i="26"/>
  <c r="O51" i="26"/>
  <c r="O52" i="26"/>
  <c r="O53" i="26"/>
  <c r="O33" i="26"/>
  <c r="O35" i="26"/>
  <c r="O36" i="26"/>
  <c r="O40" i="26"/>
  <c r="O42" i="26"/>
  <c r="O45" i="26"/>
  <c r="O55" i="26"/>
  <c r="O56" i="26"/>
  <c r="O57" i="26"/>
  <c r="O58" i="26"/>
  <c r="O59" i="26"/>
  <c r="O60" i="26"/>
  <c r="O61" i="26"/>
  <c r="O62" i="26"/>
  <c r="O63" i="26"/>
  <c r="O64" i="26"/>
  <c r="O66" i="26"/>
  <c r="O67" i="26"/>
  <c r="O68" i="26"/>
  <c r="O69" i="26"/>
  <c r="O70" i="26"/>
  <c r="O71" i="26"/>
  <c r="J32" i="26"/>
  <c r="J37" i="26"/>
  <c r="J41" i="26"/>
  <c r="J54" i="26"/>
  <c r="J34" i="26"/>
  <c r="J38" i="26"/>
  <c r="J39" i="26"/>
  <c r="J43" i="26"/>
  <c r="J44" i="26"/>
  <c r="J46" i="26"/>
  <c r="J47" i="26"/>
  <c r="J48" i="26"/>
  <c r="J49" i="26"/>
  <c r="J50" i="26"/>
  <c r="J51" i="26"/>
  <c r="J52" i="26"/>
  <c r="J53" i="26"/>
  <c r="J33" i="26"/>
  <c r="J35" i="26"/>
  <c r="J36" i="26"/>
  <c r="J40" i="26"/>
  <c r="J42" i="26"/>
  <c r="J45" i="26"/>
  <c r="J55" i="26"/>
  <c r="J56" i="26"/>
  <c r="J57" i="26"/>
  <c r="J58" i="26"/>
  <c r="J59" i="26"/>
  <c r="J60" i="26"/>
  <c r="J61" i="26"/>
  <c r="J62" i="26"/>
  <c r="J63" i="26"/>
  <c r="J64" i="26"/>
  <c r="J66" i="26"/>
  <c r="J67" i="26"/>
  <c r="J68" i="26"/>
  <c r="J69" i="26"/>
  <c r="J70" i="26"/>
  <c r="J71" i="26"/>
  <c r="O28" i="26"/>
  <c r="O3" i="26"/>
  <c r="O4" i="26"/>
  <c r="O5" i="26"/>
  <c r="O12" i="26"/>
  <c r="O7" i="26"/>
  <c r="O9" i="26"/>
  <c r="O24" i="26"/>
  <c r="O25" i="26"/>
  <c r="O6" i="26"/>
  <c r="O15" i="26"/>
  <c r="O16" i="26"/>
  <c r="O19" i="26"/>
  <c r="O20" i="26"/>
  <c r="O29" i="26"/>
  <c r="O10" i="26"/>
  <c r="O11" i="26"/>
  <c r="O13" i="26"/>
  <c r="O8" i="26"/>
  <c r="O21" i="26"/>
  <c r="O14" i="26"/>
  <c r="O17" i="26"/>
  <c r="O27" i="26"/>
  <c r="O22" i="26"/>
  <c r="O18" i="26"/>
  <c r="O23" i="26"/>
  <c r="O30" i="26"/>
  <c r="O31" i="26"/>
  <c r="J28" i="26"/>
  <c r="J3" i="26"/>
  <c r="J4" i="26"/>
  <c r="J5" i="26"/>
  <c r="J12" i="26"/>
  <c r="J7" i="26"/>
  <c r="J9" i="26"/>
  <c r="J24" i="26"/>
  <c r="J25" i="26"/>
  <c r="J6" i="26"/>
  <c r="J15" i="26"/>
  <c r="J16" i="26"/>
  <c r="J19" i="26"/>
  <c r="J20" i="26"/>
  <c r="J29" i="26"/>
  <c r="J10" i="26"/>
  <c r="J11" i="26"/>
  <c r="J13" i="26"/>
  <c r="J8" i="26"/>
  <c r="J21" i="26"/>
  <c r="J14" i="26"/>
  <c r="J17" i="26"/>
  <c r="J27" i="26"/>
  <c r="J22" i="26"/>
  <c r="J18" i="26"/>
  <c r="J23" i="26"/>
  <c r="J30" i="26"/>
  <c r="J31" i="26"/>
  <c r="J20" i="13" l="1"/>
  <c r="O20" i="13"/>
  <c r="O92" i="13" l="1"/>
  <c r="O93" i="13"/>
  <c r="O94" i="13"/>
  <c r="O95" i="13"/>
  <c r="J92" i="13"/>
  <c r="J93" i="13"/>
  <c r="J94" i="13"/>
  <c r="J95" i="13"/>
  <c r="J91" i="13"/>
  <c r="O91" i="13"/>
  <c r="J90" i="13"/>
  <c r="O90" i="13"/>
  <c r="O2" i="26" l="1"/>
  <c r="J2" i="26"/>
  <c r="O11" i="13"/>
  <c r="O80" i="13"/>
  <c r="J11" i="13"/>
  <c r="J80" i="13"/>
  <c r="O78" i="13"/>
  <c r="O79" i="13"/>
  <c r="O9" i="13"/>
  <c r="O49" i="13"/>
  <c r="O69" i="13"/>
  <c r="O10" i="13"/>
  <c r="J78" i="13"/>
  <c r="J79" i="13"/>
  <c r="J9" i="13"/>
  <c r="J49" i="13"/>
  <c r="J69" i="13"/>
  <c r="J10" i="13"/>
  <c r="J30" i="13" l="1"/>
  <c r="O30" i="13"/>
  <c r="J21" i="13"/>
  <c r="O21" i="13"/>
  <c r="J48" i="13"/>
  <c r="O48" i="13"/>
  <c r="J8" i="13"/>
  <c r="O8" i="13"/>
  <c r="J68" i="13"/>
  <c r="O68" i="13"/>
  <c r="J37" i="13"/>
  <c r="O37" i="13"/>
  <c r="O67" i="13"/>
  <c r="O89" i="13" l="1"/>
  <c r="O7" i="13"/>
  <c r="O55" i="13"/>
  <c r="O77" i="13"/>
  <c r="O29" i="13"/>
  <c r="O47" i="13"/>
  <c r="O56" i="13"/>
  <c r="O3" i="13"/>
  <c r="J89" i="13"/>
  <c r="J7" i="13"/>
  <c r="J55" i="13"/>
  <c r="J77" i="13"/>
  <c r="J67" i="13"/>
  <c r="J29" i="13"/>
  <c r="J47" i="13"/>
  <c r="J56" i="13"/>
  <c r="J3" i="13"/>
  <c r="J39" i="13" l="1"/>
  <c r="O39" i="13"/>
  <c r="J51" i="13"/>
  <c r="J85" i="13"/>
  <c r="J62" i="13"/>
  <c r="J74" i="13"/>
  <c r="J45" i="13"/>
  <c r="J86" i="13"/>
  <c r="J52" i="13"/>
  <c r="J63" i="13"/>
  <c r="J18" i="13"/>
  <c r="J87" i="13"/>
  <c r="J64" i="13"/>
  <c r="J46" i="13"/>
  <c r="J75" i="13"/>
  <c r="J53" i="13"/>
  <c r="J19" i="13"/>
  <c r="J65" i="13"/>
  <c r="J88" i="13"/>
  <c r="J66" i="13"/>
  <c r="J76" i="13"/>
  <c r="J54" i="13"/>
  <c r="J28" i="13"/>
  <c r="J36" i="13"/>
  <c r="J38" i="13"/>
  <c r="O51" i="13"/>
  <c r="O85" i="13"/>
  <c r="O62" i="13"/>
  <c r="O74" i="13"/>
  <c r="O45" i="13"/>
  <c r="O86" i="13"/>
  <c r="O52" i="13"/>
  <c r="O63" i="13"/>
  <c r="O18" i="13"/>
  <c r="O87" i="13"/>
  <c r="O64" i="13"/>
  <c r="O46" i="13"/>
  <c r="O75" i="13"/>
  <c r="O53" i="13"/>
  <c r="O19" i="13"/>
  <c r="O65" i="13"/>
  <c r="O88" i="13"/>
  <c r="O66" i="13"/>
  <c r="O76" i="13"/>
  <c r="O54" i="13"/>
  <c r="O28" i="13"/>
  <c r="O36" i="13"/>
  <c r="O38" i="13"/>
  <c r="O57" i="13"/>
  <c r="O12" i="13"/>
  <c r="O31" i="13"/>
  <c r="O40" i="13"/>
  <c r="O42" i="13"/>
  <c r="O50" i="13"/>
  <c r="O70" i="13"/>
  <c r="O2" i="13"/>
  <c r="O22" i="13"/>
  <c r="O32" i="13"/>
  <c r="O13" i="13"/>
  <c r="O58" i="13"/>
  <c r="O71" i="13"/>
  <c r="O23" i="13"/>
  <c r="O81" i="13"/>
  <c r="O41" i="13"/>
  <c r="O59" i="13"/>
  <c r="O33" i="13"/>
  <c r="O14" i="13"/>
  <c r="O24" i="13"/>
  <c r="O82" i="13"/>
  <c r="O4" i="13"/>
  <c r="O60" i="13"/>
  <c r="O72" i="13"/>
  <c r="O15" i="13"/>
  <c r="O43" i="13"/>
  <c r="O25" i="13"/>
  <c r="O83" i="13"/>
  <c r="O34" i="13"/>
  <c r="O61" i="13"/>
  <c r="O5" i="13"/>
  <c r="O26" i="13"/>
  <c r="O44" i="13"/>
  <c r="O16" i="13"/>
  <c r="O84" i="13"/>
  <c r="O35" i="13"/>
  <c r="O6" i="13"/>
  <c r="O73" i="13"/>
  <c r="O17" i="13"/>
  <c r="O27" i="13"/>
  <c r="J27" i="13"/>
  <c r="J17" i="13"/>
  <c r="J73" i="13"/>
  <c r="J6" i="13"/>
  <c r="J35" i="13"/>
  <c r="J84" i="13"/>
  <c r="J16" i="13"/>
  <c r="J44" i="13"/>
  <c r="J26" i="13"/>
  <c r="J5" i="13"/>
  <c r="J61" i="13"/>
  <c r="J34" i="13"/>
  <c r="J83" i="13"/>
  <c r="J25" i="13"/>
  <c r="J43" i="13"/>
  <c r="J15" i="13"/>
  <c r="J72" i="13"/>
  <c r="J60" i="13"/>
  <c r="J4" i="13"/>
  <c r="J82" i="13"/>
  <c r="J24" i="13"/>
  <c r="J14" i="13"/>
  <c r="J33" i="13"/>
  <c r="J59" i="13"/>
  <c r="J41" i="13"/>
  <c r="J81" i="13"/>
  <c r="J23" i="13"/>
  <c r="J71" i="13"/>
  <c r="J58" i="13"/>
  <c r="J13" i="13"/>
  <c r="J32" i="13"/>
  <c r="J22" i="13"/>
  <c r="J2" i="13"/>
  <c r="J70" i="13"/>
  <c r="J50" i="13"/>
  <c r="J42" i="13"/>
  <c r="J40" i="13"/>
  <c r="J31" i="13"/>
  <c r="J12" i="13"/>
  <c r="J57" i="13"/>
</calcChain>
</file>

<file path=xl/sharedStrings.xml><?xml version="1.0" encoding="utf-8"?>
<sst xmlns="http://schemas.openxmlformats.org/spreadsheetml/2006/main" count="7872" uniqueCount="3451">
  <si>
    <t>loading date</t>
  </si>
  <si>
    <t>offloading DATE</t>
  </si>
  <si>
    <t xml:space="preserve"> Driver </t>
  </si>
  <si>
    <t>From/To</t>
  </si>
  <si>
    <t>Delivery number</t>
  </si>
  <si>
    <t>Offloading Litres</t>
  </si>
  <si>
    <t> (LOSS) / GAIN</t>
  </si>
  <si>
    <t xml:space="preserve"> Product </t>
  </si>
  <si>
    <t>Shipment number</t>
  </si>
  <si>
    <t xml:space="preserve"> Invoice Number </t>
  </si>
  <si>
    <t>Rate</t>
  </si>
  <si>
    <t>Amount</t>
  </si>
  <si>
    <t>WAYBILL</t>
  </si>
  <si>
    <t>FILE NO.</t>
  </si>
  <si>
    <t>REMARKS</t>
  </si>
  <si>
    <t>Sekome Monokoane</t>
  </si>
  <si>
    <t>Wentworth to Hamilton</t>
  </si>
  <si>
    <t>HPT062FS</t>
  </si>
  <si>
    <t>mystic</t>
  </si>
  <si>
    <t>Libakha Thejane</t>
  </si>
  <si>
    <t>mystic2</t>
  </si>
  <si>
    <t>HTW022FS</t>
  </si>
  <si>
    <t>HMZ106FS</t>
  </si>
  <si>
    <t>HTD141FS</t>
  </si>
  <si>
    <t>Thapelo Mayipheli</t>
  </si>
  <si>
    <t>ULP95</t>
  </si>
  <si>
    <t>Daniel Mqwasho</t>
  </si>
  <si>
    <t>Fusi Mokoena</t>
  </si>
  <si>
    <t>HXM473FS</t>
  </si>
  <si>
    <t>HXL962FS</t>
  </si>
  <si>
    <t>HXW402FS</t>
  </si>
  <si>
    <t>Tseliso Zulu</t>
  </si>
  <si>
    <t>D50</t>
  </si>
  <si>
    <t>Moeketsi Mokatana</t>
  </si>
  <si>
    <t>HTD133FS</t>
  </si>
  <si>
    <t>Karabo Linake</t>
  </si>
  <si>
    <t>LOADED LITRES</t>
  </si>
  <si>
    <t>ORDER NUMBER</t>
  </si>
  <si>
    <t xml:space="preserve"> TRUCK REG</t>
  </si>
  <si>
    <t xml:space="preserve">Monaheng Moeketsi </t>
  </si>
  <si>
    <t>Wentworth to Nelspruit</t>
  </si>
  <si>
    <t>2026</t>
  </si>
  <si>
    <t>1652</t>
  </si>
  <si>
    <t>3251</t>
  </si>
  <si>
    <t>2586</t>
  </si>
  <si>
    <t>2027</t>
  </si>
  <si>
    <t>2029</t>
  </si>
  <si>
    <t xml:space="preserve">Mosito Makhatha </t>
  </si>
  <si>
    <t>3624</t>
  </si>
  <si>
    <t>1184</t>
  </si>
  <si>
    <t>3339</t>
  </si>
  <si>
    <t>4025</t>
  </si>
  <si>
    <t>2587</t>
  </si>
  <si>
    <t>3252</t>
  </si>
  <si>
    <t>1653</t>
  </si>
  <si>
    <t>1185</t>
  </si>
  <si>
    <t>4026</t>
  </si>
  <si>
    <t>3340</t>
  </si>
  <si>
    <t>2028</t>
  </si>
  <si>
    <t>1654</t>
  </si>
  <si>
    <t>2588</t>
  </si>
  <si>
    <t>3253</t>
  </si>
  <si>
    <t>4027</t>
  </si>
  <si>
    <t>3341</t>
  </si>
  <si>
    <t>3625</t>
  </si>
  <si>
    <t>1655</t>
  </si>
  <si>
    <t>1189</t>
  </si>
  <si>
    <t> 421505181</t>
  </si>
  <si>
    <t>3254</t>
  </si>
  <si>
    <t>4028</t>
  </si>
  <si>
    <t>2030</t>
  </si>
  <si>
    <t>1656</t>
  </si>
  <si>
    <t>3342</t>
  </si>
  <si>
    <t>2589</t>
  </si>
  <si>
    <t>2031</t>
  </si>
  <si>
    <t>3626</t>
  </si>
  <si>
    <t>3255</t>
  </si>
  <si>
    <t>4029</t>
  </si>
  <si>
    <t>1191</t>
  </si>
  <si>
    <t>3343</t>
  </si>
  <si>
    <t>2590</t>
  </si>
  <si>
    <t>1657</t>
  </si>
  <si>
    <t>4030</t>
  </si>
  <si>
    <t>3256</t>
  </si>
  <si>
    <t>2591</t>
  </si>
  <si>
    <t>3344</t>
  </si>
  <si>
    <t>2033</t>
  </si>
  <si>
    <t>3257</t>
  </si>
  <si>
    <t>3628</t>
  </si>
  <si>
    <t>2592</t>
  </si>
  <si>
    <t>2034</t>
  </si>
  <si>
    <t>3345</t>
  </si>
  <si>
    <t>1192</t>
  </si>
  <si>
    <t>3629</t>
  </si>
  <si>
    <t>2593</t>
  </si>
  <si>
    <t>2035</t>
  </si>
  <si>
    <t>3258</t>
  </si>
  <si>
    <t>Moeketsi Monaheng</t>
  </si>
  <si>
    <t>1193</t>
  </si>
  <si>
    <t>3630</t>
  </si>
  <si>
    <t>3347</t>
  </si>
  <si>
    <t>2594</t>
  </si>
  <si>
    <t>3259</t>
  </si>
  <si>
    <t>HNL763FS</t>
  </si>
  <si>
    <t>INV0005079</t>
  </si>
  <si>
    <t>INV0005080</t>
  </si>
  <si>
    <t>INV0005081</t>
  </si>
  <si>
    <t>INV0005082</t>
  </si>
  <si>
    <t>INV0005083</t>
  </si>
  <si>
    <t>INV0005084</t>
  </si>
  <si>
    <t>INV0005094</t>
  </si>
  <si>
    <t>INV0005104</t>
  </si>
  <si>
    <t>INV0005085</t>
  </si>
  <si>
    <t>INV0005086</t>
  </si>
  <si>
    <t>INV0005087</t>
  </si>
  <si>
    <t>INV0005088</t>
  </si>
  <si>
    <t>INV0005089</t>
  </si>
  <si>
    <t>INV0005090</t>
  </si>
  <si>
    <t>INV0005091</t>
  </si>
  <si>
    <t>INV0005092</t>
  </si>
  <si>
    <t>INV0005093</t>
  </si>
  <si>
    <t>INV0005095</t>
  </si>
  <si>
    <t>INV0005096</t>
  </si>
  <si>
    <t>INV0005097</t>
  </si>
  <si>
    <t>INV0005098</t>
  </si>
  <si>
    <t>INV0005099</t>
  </si>
  <si>
    <t>INV0005100</t>
  </si>
  <si>
    <t>INV0005101</t>
  </si>
  <si>
    <t>INV0005102</t>
  </si>
  <si>
    <t>INV0005103</t>
  </si>
  <si>
    <t>INV0005105</t>
  </si>
  <si>
    <t>INV0005106</t>
  </si>
  <si>
    <t>INV0005107</t>
  </si>
  <si>
    <t>INV0005108</t>
  </si>
  <si>
    <t>INV0005109</t>
  </si>
  <si>
    <t>INV0005110</t>
  </si>
  <si>
    <t>INV0005111</t>
  </si>
  <si>
    <t>INV0005112</t>
  </si>
  <si>
    <t>INV0005113</t>
  </si>
  <si>
    <t>INV0005114</t>
  </si>
  <si>
    <t>INV0005116</t>
  </si>
  <si>
    <t>INV0005117</t>
  </si>
  <si>
    <t>INV0005118</t>
  </si>
  <si>
    <t>INV0005119</t>
  </si>
  <si>
    <t>INV0005115</t>
  </si>
  <si>
    <t>4031</t>
  </si>
  <si>
    <t>3631</t>
  </si>
  <si>
    <t>1194</t>
  </si>
  <si>
    <t>2595</t>
  </si>
  <si>
    <t>2037</t>
  </si>
  <si>
    <t>3260</t>
  </si>
  <si>
    <t>1664</t>
  </si>
  <si>
    <t>3719</t>
  </si>
  <si>
    <t>3348</t>
  </si>
  <si>
    <t>2036</t>
  </si>
  <si>
    <t>3346</t>
  </si>
  <si>
    <t>INV0005120</t>
  </si>
  <si>
    <t>INV0005121</t>
  </si>
  <si>
    <t>INV0005122</t>
  </si>
  <si>
    <t>INV0005123</t>
  </si>
  <si>
    <t>INV0005124</t>
  </si>
  <si>
    <t>INV0005125</t>
  </si>
  <si>
    <t>INV0005126</t>
  </si>
  <si>
    <t>INV0005127</t>
  </si>
  <si>
    <t>INV0005128</t>
  </si>
  <si>
    <t>INV0005129</t>
  </si>
  <si>
    <t>INV0005130</t>
  </si>
  <si>
    <t>INV0005131</t>
  </si>
  <si>
    <t>INV0005132</t>
  </si>
  <si>
    <t>INV0005133</t>
  </si>
  <si>
    <t>INV0005134</t>
  </si>
  <si>
    <t>INV0005135</t>
  </si>
  <si>
    <t>INV0005136</t>
  </si>
  <si>
    <t>INV0005137</t>
  </si>
  <si>
    <t>INV0005138</t>
  </si>
  <si>
    <t>INV0005139</t>
  </si>
  <si>
    <t>INV0005140</t>
  </si>
  <si>
    <t>INV0005141</t>
  </si>
  <si>
    <t>INV0005142</t>
  </si>
  <si>
    <t>INV0005143</t>
  </si>
  <si>
    <t>INV0005144</t>
  </si>
  <si>
    <t>INV0005145</t>
  </si>
  <si>
    <t>INV0005146</t>
  </si>
  <si>
    <t>INV0005147</t>
  </si>
  <si>
    <t>INV0005148</t>
  </si>
  <si>
    <t>Wentworth to Kroonstad</t>
  </si>
  <si>
    <t>4032</t>
  </si>
  <si>
    <t>Wentworth to Waltloo</t>
  </si>
  <si>
    <t>3632</t>
  </si>
  <si>
    <t>3349</t>
  </si>
  <si>
    <t>2596</t>
  </si>
  <si>
    <t>2038</t>
  </si>
  <si>
    <t>3720</t>
  </si>
  <si>
    <t>1195</t>
  </si>
  <si>
    <t>3633</t>
  </si>
  <si>
    <t>4033</t>
  </si>
  <si>
    <t>MYS8521</t>
  </si>
  <si>
    <t>MYS8520</t>
  </si>
  <si>
    <t>MYS8519</t>
  </si>
  <si>
    <t>MYS8518</t>
  </si>
  <si>
    <t>MYS8765</t>
  </si>
  <si>
    <t>MYS8762</t>
  </si>
  <si>
    <t>MYS8758</t>
  </si>
  <si>
    <t>MYS8761</t>
  </si>
  <si>
    <t>MYS8760</t>
  </si>
  <si>
    <t>MYS8759</t>
  </si>
  <si>
    <t>MYS8757</t>
  </si>
  <si>
    <t>MYS8735</t>
  </si>
  <si>
    <t>MYS8734</t>
  </si>
  <si>
    <t>MYS8733</t>
  </si>
  <si>
    <t>MYS8732</t>
  </si>
  <si>
    <t>MYS8730</t>
  </si>
  <si>
    <t>MYS8729</t>
  </si>
  <si>
    <t>MYS8726</t>
  </si>
  <si>
    <t>MYS8725</t>
  </si>
  <si>
    <t>MYS8756</t>
  </si>
  <si>
    <t>MYS8722</t>
  </si>
  <si>
    <t>MYS8662</t>
  </si>
  <si>
    <t>MYS8661</t>
  </si>
  <si>
    <t>MYS8665</t>
  </si>
  <si>
    <t>MYS8664</t>
  </si>
  <si>
    <t>MYS8666</t>
  </si>
  <si>
    <t>MYS8652</t>
  </si>
  <si>
    <t>MYS8650</t>
  </si>
  <si>
    <t>MYS8649</t>
  </si>
  <si>
    <t>INV0005150</t>
  </si>
  <si>
    <t>INV0005151</t>
  </si>
  <si>
    <t>INV0005152</t>
  </si>
  <si>
    <t>INV0005153</t>
  </si>
  <si>
    <t>INV0005154</t>
  </si>
  <si>
    <t>INV0005155</t>
  </si>
  <si>
    <t>INV0005156</t>
  </si>
  <si>
    <t>INV0005157</t>
  </si>
  <si>
    <t>INV0005158</t>
  </si>
  <si>
    <t>INV0005159</t>
  </si>
  <si>
    <t>Vopak to Mordderport,Ladybrand &amp; Marseilles</t>
  </si>
  <si>
    <t>Mixed</t>
  </si>
  <si>
    <t>5417024/349</t>
  </si>
  <si>
    <t>1188/'1186/'1187</t>
  </si>
  <si>
    <t xml:space="preserve">Wentworth to Ladybrand </t>
  </si>
  <si>
    <t>1190</t>
  </si>
  <si>
    <t>Wentworth to Rosendal/Ficksburg</t>
  </si>
  <si>
    <t>5426083/219/5426091/103</t>
  </si>
  <si>
    <t>Wentworth to Fouriesburg</t>
  </si>
  <si>
    <t xml:space="preserve">5424266/107 </t>
  </si>
  <si>
    <t>3627</t>
  </si>
  <si>
    <t xml:space="preserve">5424265/107 </t>
  </si>
  <si>
    <t>2032</t>
  </si>
  <si>
    <t>Wentworth to Tweespruit</t>
  </si>
  <si>
    <t>1660</t>
  </si>
  <si>
    <t>5429076/120</t>
  </si>
  <si>
    <t>422262769/422262756</t>
  </si>
  <si>
    <t>802223573/802223572</t>
  </si>
  <si>
    <t>5430972/112/5430976/111</t>
  </si>
  <si>
    <t>1663/'1662</t>
  </si>
  <si>
    <t>INV0005160</t>
  </si>
  <si>
    <t>INV0005161</t>
  </si>
  <si>
    <t>1658/'1659</t>
  </si>
  <si>
    <t>INV0005162</t>
  </si>
  <si>
    <t>INV0005163</t>
  </si>
  <si>
    <t>INV0005164</t>
  </si>
  <si>
    <t>INV0005165</t>
  </si>
  <si>
    <t>Wentworth to Excerlsior/Tweespruit</t>
  </si>
  <si>
    <t>INV0005166</t>
  </si>
  <si>
    <t>MYS8845</t>
  </si>
  <si>
    <t>MYS8836</t>
  </si>
  <si>
    <t>MYS8839</t>
  </si>
  <si>
    <t>MYS8838</t>
  </si>
  <si>
    <t>MYS8840</t>
  </si>
  <si>
    <t>MYS8843</t>
  </si>
  <si>
    <t>MYS8844</t>
  </si>
  <si>
    <t>MYS8795</t>
  </si>
  <si>
    <t>MYS8797</t>
  </si>
  <si>
    <t>MYS8803</t>
  </si>
  <si>
    <t>MYS8847</t>
  </si>
  <si>
    <t>MYS8849</t>
  </si>
  <si>
    <t>MYS8850</t>
  </si>
  <si>
    <t>MYS8805</t>
  </si>
  <si>
    <t>MYS8807</t>
  </si>
  <si>
    <t>MYS8848</t>
  </si>
  <si>
    <t>MYS8851</t>
  </si>
  <si>
    <t>MYS8806</t>
  </si>
  <si>
    <t>MYS8808</t>
  </si>
  <si>
    <t>MYS8815</t>
  </si>
  <si>
    <t>MYS8816</t>
  </si>
  <si>
    <t>MYS8829</t>
  </si>
  <si>
    <t>Mosito Makhatha</t>
  </si>
  <si>
    <t>Monaheng Moeketsi</t>
  </si>
  <si>
    <t>3721</t>
  </si>
  <si>
    <t>3637</t>
  </si>
  <si>
    <t xml:space="preserve">Wentworth to Waltloo </t>
  </si>
  <si>
    <t>3350</t>
  </si>
  <si>
    <t>2039</t>
  </si>
  <si>
    <t>2597</t>
  </si>
  <si>
    <t>Wentworth to Arlington/Rosendal</t>
  </si>
  <si>
    <t>422508475/422508753</t>
  </si>
  <si>
    <t>802251889/802251887</t>
  </si>
  <si>
    <t>3261/'3262</t>
  </si>
  <si>
    <t>Wentworth to Witbank</t>
  </si>
  <si>
    <t>3635</t>
  </si>
  <si>
    <t>1196</t>
  </si>
  <si>
    <t>2598</t>
  </si>
  <si>
    <t>1674</t>
  </si>
  <si>
    <t>1902</t>
  </si>
  <si>
    <t>3263</t>
  </si>
  <si>
    <t>2599</t>
  </si>
  <si>
    <t>Wentworth to Klerskdorp</t>
  </si>
  <si>
    <t>1673</t>
  </si>
  <si>
    <t>3265</t>
  </si>
  <si>
    <t>3636</t>
  </si>
  <si>
    <t>3354</t>
  </si>
  <si>
    <t>3634</t>
  </si>
  <si>
    <t>4034</t>
  </si>
  <si>
    <t>3264</t>
  </si>
  <si>
    <t>Wenworth to Witbank</t>
  </si>
  <si>
    <t>3351</t>
  </si>
  <si>
    <t>1901</t>
  </si>
  <si>
    <t>2040</t>
  </si>
  <si>
    <t>3352</t>
  </si>
  <si>
    <t>3353</t>
  </si>
  <si>
    <t>2041</t>
  </si>
  <si>
    <t>4035</t>
  </si>
  <si>
    <t>2600</t>
  </si>
  <si>
    <t>3266</t>
  </si>
  <si>
    <t>1801</t>
  </si>
  <si>
    <t>1903</t>
  </si>
  <si>
    <t>1904</t>
  </si>
  <si>
    <t>3356</t>
  </si>
  <si>
    <t>3355</t>
  </si>
  <si>
    <t>3267</t>
  </si>
  <si>
    <t>1802</t>
  </si>
  <si>
    <t>1676</t>
  </si>
  <si>
    <t>1803</t>
  </si>
  <si>
    <t>3639</t>
  </si>
  <si>
    <t>5437580/5437574/103</t>
  </si>
  <si>
    <t>2043</t>
  </si>
  <si>
    <t>3357</t>
  </si>
  <si>
    <t>1906</t>
  </si>
  <si>
    <t>1677</t>
  </si>
  <si>
    <t>4038</t>
  </si>
  <si>
    <t>3269</t>
  </si>
  <si>
    <t>1804</t>
  </si>
  <si>
    <t>2042</t>
  </si>
  <si>
    <t>1675</t>
  </si>
  <si>
    <t>3638</t>
  </si>
  <si>
    <t>4037</t>
  </si>
  <si>
    <t>1905</t>
  </si>
  <si>
    <t>3268</t>
  </si>
  <si>
    <t>1907</t>
  </si>
  <si>
    <t>Leabua Phalatsi</t>
  </si>
  <si>
    <t>4039</t>
  </si>
  <si>
    <t>3640</t>
  </si>
  <si>
    <t>4036</t>
  </si>
  <si>
    <t>1805</t>
  </si>
  <si>
    <t>INV0005168</t>
  </si>
  <si>
    <t>INV0005169</t>
  </si>
  <si>
    <t>INV0005170</t>
  </si>
  <si>
    <t>INV0005171</t>
  </si>
  <si>
    <t>INV0005172</t>
  </si>
  <si>
    <t>INV0005167</t>
  </si>
  <si>
    <t>INV0005173</t>
  </si>
  <si>
    <t>INV0005174</t>
  </si>
  <si>
    <t>INV0005175</t>
  </si>
  <si>
    <t>INV0005176</t>
  </si>
  <si>
    <t>INV0005177</t>
  </si>
  <si>
    <t>INV0005178</t>
  </si>
  <si>
    <t>INV0005179</t>
  </si>
  <si>
    <t>INV0005180</t>
  </si>
  <si>
    <t>INV0005181</t>
  </si>
  <si>
    <t>INV0005182</t>
  </si>
  <si>
    <t>INV0005183</t>
  </si>
  <si>
    <t>INV0005184</t>
  </si>
  <si>
    <t>INV0005185</t>
  </si>
  <si>
    <t>INV0005186</t>
  </si>
  <si>
    <t>INV0005187</t>
  </si>
  <si>
    <t>INV0005188</t>
  </si>
  <si>
    <t>INV0005189</t>
  </si>
  <si>
    <t>INV0005190</t>
  </si>
  <si>
    <t>INV0005191</t>
  </si>
  <si>
    <t>INV0005192</t>
  </si>
  <si>
    <t>INV0005193</t>
  </si>
  <si>
    <t>INV0005194</t>
  </si>
  <si>
    <t>INV0005195</t>
  </si>
  <si>
    <t>INV0005196</t>
  </si>
  <si>
    <t>INV0005197</t>
  </si>
  <si>
    <t>INV0005198</t>
  </si>
  <si>
    <t>INV0005199</t>
  </si>
  <si>
    <t>INV0005200</t>
  </si>
  <si>
    <t>INV0005201</t>
  </si>
  <si>
    <t>INV0005202</t>
  </si>
  <si>
    <t>INV0005203</t>
  </si>
  <si>
    <t>INV0005204</t>
  </si>
  <si>
    <t>INV0005205</t>
  </si>
  <si>
    <t>INV0005206</t>
  </si>
  <si>
    <t>INV0005207</t>
  </si>
  <si>
    <t>INV0005208</t>
  </si>
  <si>
    <t>INV0005209</t>
  </si>
  <si>
    <t>INV0005210</t>
  </si>
  <si>
    <t>INV0005211</t>
  </si>
  <si>
    <t>INV0005212</t>
  </si>
  <si>
    <t>INV0005213</t>
  </si>
  <si>
    <t>INV0005214</t>
  </si>
  <si>
    <t>INV0005215</t>
  </si>
  <si>
    <t>INV0005216</t>
  </si>
  <si>
    <t>INV0005217</t>
  </si>
  <si>
    <t>INV0005218</t>
  </si>
  <si>
    <t>INV0005219</t>
  </si>
  <si>
    <t>INV0005220</t>
  </si>
  <si>
    <t>INV0005221</t>
  </si>
  <si>
    <t>Wentworth to Langlaagte</t>
  </si>
  <si>
    <t>3359</t>
  </si>
  <si>
    <t>2044</t>
  </si>
  <si>
    <t>1908</t>
  </si>
  <si>
    <t>3360</t>
  </si>
  <si>
    <t>1806</t>
  </si>
  <si>
    <t>3641</t>
  </si>
  <si>
    <t>4040</t>
  </si>
  <si>
    <t>1679</t>
  </si>
  <si>
    <t>1909</t>
  </si>
  <si>
    <t>2045</t>
  </si>
  <si>
    <t>3270</t>
  </si>
  <si>
    <t>3361</t>
  </si>
  <si>
    <t>1807</t>
  </si>
  <si>
    <t>3642</t>
  </si>
  <si>
    <t>1680</t>
  </si>
  <si>
    <t>2046</t>
  </si>
  <si>
    <t>4041</t>
  </si>
  <si>
    <t>3362</t>
  </si>
  <si>
    <t>3643</t>
  </si>
  <si>
    <t>1910</t>
  </si>
  <si>
    <t>3272</t>
  </si>
  <si>
    <t>1681</t>
  </si>
  <si>
    <t>2047</t>
  </si>
  <si>
    <t>3363</t>
  </si>
  <si>
    <t>4042</t>
  </si>
  <si>
    <t>1911</t>
  </si>
  <si>
    <t>3644</t>
  </si>
  <si>
    <t>Langlaagte to Witbank</t>
  </si>
  <si>
    <t>3274</t>
  </si>
  <si>
    <t>4044</t>
  </si>
  <si>
    <t>1682</t>
  </si>
  <si>
    <t>3365</t>
  </si>
  <si>
    <t>3273</t>
  </si>
  <si>
    <t>4043</t>
  </si>
  <si>
    <t>1808</t>
  </si>
  <si>
    <t>2048</t>
  </si>
  <si>
    <t>3645</t>
  </si>
  <si>
    <t>INV0005223</t>
  </si>
  <si>
    <t>INV0005224</t>
  </si>
  <si>
    <t>INV0005225</t>
  </si>
  <si>
    <t>INV0005226</t>
  </si>
  <si>
    <t>3358</t>
  </si>
  <si>
    <t>INV0005227</t>
  </si>
  <si>
    <t>INV0005228</t>
  </si>
  <si>
    <t>INV0005229</t>
  </si>
  <si>
    <t>INV0005230</t>
  </si>
  <si>
    <t>INV0005231</t>
  </si>
  <si>
    <t>INV0005232</t>
  </si>
  <si>
    <t>INV0005233</t>
  </si>
  <si>
    <t>INV0005234</t>
  </si>
  <si>
    <t>INV0005235</t>
  </si>
  <si>
    <t>INV0005236</t>
  </si>
  <si>
    <t>INV0005237</t>
  </si>
  <si>
    <t>INV0005238</t>
  </si>
  <si>
    <t>INV0005239</t>
  </si>
  <si>
    <t>INV0005240</t>
  </si>
  <si>
    <t>INV0005241</t>
  </si>
  <si>
    <t>INV0005242</t>
  </si>
  <si>
    <t>INV0005243</t>
  </si>
  <si>
    <t>INV0005244</t>
  </si>
  <si>
    <t>INV0005245</t>
  </si>
  <si>
    <t>INV0005246</t>
  </si>
  <si>
    <t>INV0005247</t>
  </si>
  <si>
    <t>INV0005248</t>
  </si>
  <si>
    <t>INV0005249</t>
  </si>
  <si>
    <t>INV0005250</t>
  </si>
  <si>
    <t>INV0005251</t>
  </si>
  <si>
    <t>INV0005252</t>
  </si>
  <si>
    <t>INV0005253</t>
  </si>
  <si>
    <t>INV0005254</t>
  </si>
  <si>
    <t>INV0005255</t>
  </si>
  <si>
    <t>INV0005256</t>
  </si>
  <si>
    <t>INV0005257</t>
  </si>
  <si>
    <t>INV0005258</t>
  </si>
  <si>
    <t>INV0005259</t>
  </si>
  <si>
    <t>INV0005260</t>
  </si>
  <si>
    <t>INV0005261</t>
  </si>
  <si>
    <t>INV0005262</t>
  </si>
  <si>
    <t>3271</t>
  </si>
  <si>
    <t>MYS8602</t>
  </si>
  <si>
    <t>MYS8603</t>
  </si>
  <si>
    <t>MYS8605</t>
  </si>
  <si>
    <t>MYS8610</t>
  </si>
  <si>
    <t>MYS8611</t>
  </si>
  <si>
    <t>MYS8613</t>
  </si>
  <si>
    <t>MYS8614</t>
  </si>
  <si>
    <t>MYS8615</t>
  </si>
  <si>
    <t>MYS8612</t>
  </si>
  <si>
    <t>MYS8616</t>
  </si>
  <si>
    <t>MYS8617</t>
  </si>
  <si>
    <t>MYS8604</t>
  </si>
  <si>
    <t>MYS8618</t>
  </si>
  <si>
    <t>MYS8619</t>
  </si>
  <si>
    <t>MYS8620</t>
  </si>
  <si>
    <t>MYS8920</t>
  </si>
  <si>
    <t>MYS8940</t>
  </si>
  <si>
    <t>MYS8621</t>
  </si>
  <si>
    <t>MYS8622</t>
  </si>
  <si>
    <t>MYS8623</t>
  </si>
  <si>
    <t>MYS8624</t>
  </si>
  <si>
    <t>MYS8625</t>
  </si>
  <si>
    <t>MYS8627</t>
  </si>
  <si>
    <t>MYS8631</t>
  </si>
  <si>
    <t>MYS8676</t>
  </si>
  <si>
    <t>MYS8737</t>
  </si>
  <si>
    <t>MYS8724</t>
  </si>
  <si>
    <t>MYS8728</t>
  </si>
  <si>
    <t>MYS8727</t>
  </si>
  <si>
    <t>MYS8768</t>
  </si>
  <si>
    <t>MYS8763</t>
  </si>
  <si>
    <t>MYS8814</t>
  </si>
  <si>
    <t>MYS8935</t>
  </si>
  <si>
    <t>MYS8937</t>
  </si>
  <si>
    <t>MYS8950</t>
  </si>
  <si>
    <t>MYS8939</t>
  </si>
  <si>
    <t>MYS8941</t>
  </si>
  <si>
    <t>MYS8942</t>
  </si>
  <si>
    <t>MYS8919</t>
  </si>
  <si>
    <t>MYS8918</t>
  </si>
  <si>
    <t>MYS8916</t>
  </si>
  <si>
    <t>MYS8929</t>
  </si>
  <si>
    <t>MYS8933</t>
  </si>
  <si>
    <t>MYS8921</t>
  </si>
  <si>
    <t>MYS8917</t>
  </si>
  <si>
    <t>MYS8923</t>
  </si>
  <si>
    <t>MYS8932</t>
  </si>
  <si>
    <t>MYS8924</t>
  </si>
  <si>
    <t>MYS8914</t>
  </si>
  <si>
    <t>MYS8922</t>
  </si>
  <si>
    <t>MYS8928</t>
  </si>
  <si>
    <t>MYS8915</t>
  </si>
  <si>
    <t>MYS8930</t>
  </si>
  <si>
    <t>MYS8931</t>
  </si>
  <si>
    <t>MYS8852</t>
  </si>
  <si>
    <t>MYS8853</t>
  </si>
  <si>
    <t>MYS8854</t>
  </si>
  <si>
    <t>MYS8855</t>
  </si>
  <si>
    <t>MYS8856</t>
  </si>
  <si>
    <t>MYS9000</t>
  </si>
  <si>
    <t>MYS9002</t>
  </si>
  <si>
    <t>MYS9001</t>
  </si>
  <si>
    <t>MYS9005</t>
  </si>
  <si>
    <t>MYS9003</t>
  </si>
  <si>
    <t>MYS9004</t>
  </si>
  <si>
    <t>MYS9008</t>
  </si>
  <si>
    <t>MYS9009</t>
  </si>
  <si>
    <t>MYS9011</t>
  </si>
  <si>
    <t>MYS9012</t>
  </si>
  <si>
    <t>MYS9013</t>
  </si>
  <si>
    <t>MYS9010</t>
  </si>
  <si>
    <t>MYS8999</t>
  </si>
  <si>
    <t>MYS9006</t>
  </si>
  <si>
    <t>MYS9007</t>
  </si>
  <si>
    <t>MYS9020</t>
  </si>
  <si>
    <t>MYS9024</t>
  </si>
  <si>
    <t>MYS9028</t>
  </si>
  <si>
    <t>MYS9031</t>
  </si>
  <si>
    <t>MYS9033</t>
  </si>
  <si>
    <t>MYS9066</t>
  </si>
  <si>
    <t>MYS9071</t>
  </si>
  <si>
    <t>MYS9075</t>
  </si>
  <si>
    <t>MYS9072</t>
  </si>
  <si>
    <t>MYS9067</t>
  </si>
  <si>
    <t>MYS9068</t>
  </si>
  <si>
    <t>1678</t>
  </si>
  <si>
    <t>MYS9069</t>
  </si>
  <si>
    <t>MYS9074</t>
  </si>
  <si>
    <t>MYS9076</t>
  </si>
  <si>
    <t>MYS9077</t>
  </si>
  <si>
    <t>MYS9078</t>
  </si>
  <si>
    <t>MYS9073</t>
  </si>
  <si>
    <t>MYS9079</t>
  </si>
  <si>
    <t>MYS9070</t>
  </si>
  <si>
    <t>MYS9080</t>
  </si>
  <si>
    <t>MYS9082</t>
  </si>
  <si>
    <t>MYS9081</t>
  </si>
  <si>
    <t>MYS9149</t>
  </si>
  <si>
    <t>MYS9098</t>
  </si>
  <si>
    <t>MYS9084</t>
  </si>
  <si>
    <t>MYS9099</t>
  </si>
  <si>
    <t>MYS9151</t>
  </si>
  <si>
    <t>MYS9131</t>
  </si>
  <si>
    <t>MYS9135</t>
  </si>
  <si>
    <t>MYS9134</t>
  </si>
  <si>
    <t>MYS9133</t>
  </si>
  <si>
    <t>MYS9132</t>
  </si>
  <si>
    <t>MYS9137</t>
  </si>
  <si>
    <t>MYS9155</t>
  </si>
  <si>
    <t>MYS9154</t>
  </si>
  <si>
    <t>MYS9153</t>
  </si>
  <si>
    <t>MYS9152</t>
  </si>
  <si>
    <t>MYS9150</t>
  </si>
  <si>
    <t>MYS9136</t>
  </si>
  <si>
    <t>MYS9156</t>
  </si>
  <si>
    <t>MYS9157</t>
  </si>
  <si>
    <t>MYS9178</t>
  </si>
  <si>
    <t>MYS9177</t>
  </si>
  <si>
    <t>MYS9176</t>
  </si>
  <si>
    <t>MYS9211</t>
  </si>
  <si>
    <t>MYS9243</t>
  </si>
  <si>
    <t>MYS9107</t>
  </si>
  <si>
    <t>MYS9105</t>
  </si>
  <si>
    <t>MYS9106</t>
  </si>
  <si>
    <t>MYS9330</t>
  </si>
  <si>
    <t>MYS9329</t>
  </si>
  <si>
    <t>MYS9382</t>
  </si>
  <si>
    <t>INV0005275</t>
  </si>
  <si>
    <t>Wentworth to Klerksdorp</t>
  </si>
  <si>
    <t>3368</t>
  </si>
  <si>
    <t xml:space="preserve">Karabo Linake </t>
  </si>
  <si>
    <t>3275</t>
  </si>
  <si>
    <t>1912</t>
  </si>
  <si>
    <t>2049</t>
  </si>
  <si>
    <t>1683</t>
  </si>
  <si>
    <t>Motebang Ratefane</t>
  </si>
  <si>
    <t>3646</t>
  </si>
  <si>
    <t>3369</t>
  </si>
  <si>
    <t>1809</t>
  </si>
  <si>
    <t xml:space="preserve">Wentworth to Hamilton </t>
  </si>
  <si>
    <t>1684</t>
  </si>
  <si>
    <t>3276</t>
  </si>
  <si>
    <t>1913</t>
  </si>
  <si>
    <t>3647</t>
  </si>
  <si>
    <t>2050</t>
  </si>
  <si>
    <t>1810</t>
  </si>
  <si>
    <t>3370</t>
  </si>
  <si>
    <t>4045</t>
  </si>
  <si>
    <t>1914</t>
  </si>
  <si>
    <t>4046</t>
  </si>
  <si>
    <t>1687</t>
  </si>
  <si>
    <t>3371</t>
  </si>
  <si>
    <t>3648</t>
  </si>
  <si>
    <t>1812</t>
  </si>
  <si>
    <t>2051</t>
  </si>
  <si>
    <t xml:space="preserve">Thapelo Mayipheli </t>
  </si>
  <si>
    <t>1915</t>
  </si>
  <si>
    <t>3372</t>
  </si>
  <si>
    <t>3649</t>
  </si>
  <si>
    <t>1688</t>
  </si>
  <si>
    <t>1813</t>
  </si>
  <si>
    <t>3277</t>
  </si>
  <si>
    <t>2052</t>
  </si>
  <si>
    <t>3373</t>
  </si>
  <si>
    <t>1689</t>
  </si>
  <si>
    <t>3278</t>
  </si>
  <si>
    <t>3650</t>
  </si>
  <si>
    <t>2053</t>
  </si>
  <si>
    <t>2056</t>
  </si>
  <si>
    <t>1814</t>
  </si>
  <si>
    <t>3374</t>
  </si>
  <si>
    <t>1690</t>
  </si>
  <si>
    <t>3279</t>
  </si>
  <si>
    <t>2054</t>
  </si>
  <si>
    <t>3651</t>
  </si>
  <si>
    <t>1815</t>
  </si>
  <si>
    <t>3375</t>
  </si>
  <si>
    <t>1691</t>
  </si>
  <si>
    <t>3652</t>
  </si>
  <si>
    <t>2055</t>
  </si>
  <si>
    <t>3280</t>
  </si>
  <si>
    <t>4047</t>
  </si>
  <si>
    <t>1816</t>
  </si>
  <si>
    <t>INV0005278</t>
  </si>
  <si>
    <t>INV0005308</t>
  </si>
  <si>
    <t>INV0005298</t>
  </si>
  <si>
    <t>INV0005279</t>
  </si>
  <si>
    <t>INV0005280</t>
  </si>
  <si>
    <t>INV0005281</t>
  </si>
  <si>
    <t>INV0005282</t>
  </si>
  <si>
    <t>INV0005283</t>
  </si>
  <si>
    <t>INV0005284</t>
  </si>
  <si>
    <t>INV0005285</t>
  </si>
  <si>
    <t>INV0005286</t>
  </si>
  <si>
    <t>INV0005287</t>
  </si>
  <si>
    <t>INV0005288</t>
  </si>
  <si>
    <t>INV0005289</t>
  </si>
  <si>
    <t>INV0005290</t>
  </si>
  <si>
    <t>INV0005291</t>
  </si>
  <si>
    <t>INV0005292</t>
  </si>
  <si>
    <t>INV0005293</t>
  </si>
  <si>
    <t>INV0005294</t>
  </si>
  <si>
    <t>INV0005295</t>
  </si>
  <si>
    <t>INV0005296</t>
  </si>
  <si>
    <t>INV0005297</t>
  </si>
  <si>
    <t>INV0005299</t>
  </si>
  <si>
    <t>INV0005300</t>
  </si>
  <si>
    <t>INV0005301</t>
  </si>
  <si>
    <t>INV0005302</t>
  </si>
  <si>
    <t>INV0005303</t>
  </si>
  <si>
    <t>INV0005304</t>
  </si>
  <si>
    <t>INV0005305</t>
  </si>
  <si>
    <t>INV0005306</t>
  </si>
  <si>
    <t>INV0005307</t>
  </si>
  <si>
    <t>INV0005309</t>
  </si>
  <si>
    <t>INV0005310</t>
  </si>
  <si>
    <t>INV0005311</t>
  </si>
  <si>
    <t>INV0005312</t>
  </si>
  <si>
    <t>INV0005313</t>
  </si>
  <si>
    <t>INV0005314</t>
  </si>
  <si>
    <t>INV0005315</t>
  </si>
  <si>
    <t>INV0005316</t>
  </si>
  <si>
    <t>INV0005317</t>
  </si>
  <si>
    <t>INV0005318</t>
  </si>
  <si>
    <t>INV0005319</t>
  </si>
  <si>
    <t>INV0005320</t>
  </si>
  <si>
    <t>INV0005321</t>
  </si>
  <si>
    <t>3653</t>
  </si>
  <si>
    <t>1916</t>
  </si>
  <si>
    <t>3281</t>
  </si>
  <si>
    <t>4048</t>
  </si>
  <si>
    <t>1692</t>
  </si>
  <si>
    <t>3377</t>
  </si>
  <si>
    <t>3654</t>
  </si>
  <si>
    <t>1917</t>
  </si>
  <si>
    <t>2057</t>
  </si>
  <si>
    <t>Wentwoth to Klerksdorp</t>
  </si>
  <si>
    <t>3282</t>
  </si>
  <si>
    <t>1693</t>
  </si>
  <si>
    <t>3378</t>
  </si>
  <si>
    <t>1817</t>
  </si>
  <si>
    <t>3655</t>
  </si>
  <si>
    <t>1918</t>
  </si>
  <si>
    <t>2058</t>
  </si>
  <si>
    <t>1694</t>
  </si>
  <si>
    <t>3283</t>
  </si>
  <si>
    <t>1818</t>
  </si>
  <si>
    <t>3379</t>
  </si>
  <si>
    <t>1919</t>
  </si>
  <si>
    <t>1920</t>
  </si>
  <si>
    <t>3380</t>
  </si>
  <si>
    <t>1695</t>
  </si>
  <si>
    <t>3284</t>
  </si>
  <si>
    <t>3722</t>
  </si>
  <si>
    <t>2059</t>
  </si>
  <si>
    <t>1819</t>
  </si>
  <si>
    <t>3656</t>
  </si>
  <si>
    <t>1811</t>
  </si>
  <si>
    <t>INV0005335</t>
  </si>
  <si>
    <t>INV0005336</t>
  </si>
  <si>
    <t>INV0005337</t>
  </si>
  <si>
    <t>INV0005338</t>
  </si>
  <si>
    <t>INV0005339</t>
  </si>
  <si>
    <t>INV0005322</t>
  </si>
  <si>
    <t>INV0005341</t>
  </si>
  <si>
    <t>INV0005342</t>
  </si>
  <si>
    <t>INV0005340</t>
  </si>
  <si>
    <t>INV0005349</t>
  </si>
  <si>
    <t>INV0005345</t>
  </si>
  <si>
    <t>INV0005347</t>
  </si>
  <si>
    <t>INV0005344</t>
  </si>
  <si>
    <t>INV0005346</t>
  </si>
  <si>
    <t>INV0005343</t>
  </si>
  <si>
    <t>INV0005348</t>
  </si>
  <si>
    <t>INV0005350</t>
  </si>
  <si>
    <t>INV0005351</t>
  </si>
  <si>
    <t>INV0005352</t>
  </si>
  <si>
    <t>INV0005353</t>
  </si>
  <si>
    <t>INV0005354</t>
  </si>
  <si>
    <t>INV0005355</t>
  </si>
  <si>
    <t>INV0005356</t>
  </si>
  <si>
    <t>INV0005357</t>
  </si>
  <si>
    <t>INV0005358</t>
  </si>
  <si>
    <t>INV0005359</t>
  </si>
  <si>
    <t>INV0005360</t>
  </si>
  <si>
    <t>INV0005361</t>
  </si>
  <si>
    <t>INV0005362</t>
  </si>
  <si>
    <t>INV0005363</t>
  </si>
  <si>
    <t>INV0005364</t>
  </si>
  <si>
    <t>INV0005365</t>
  </si>
  <si>
    <t>INV0005366</t>
  </si>
  <si>
    <t>INV0005367</t>
  </si>
  <si>
    <t>INV0005368</t>
  </si>
  <si>
    <t>INV0005371</t>
  </si>
  <si>
    <t>MYS9212</t>
  </si>
  <si>
    <t>MYS9214</t>
  </si>
  <si>
    <t>MYS9215</t>
  </si>
  <si>
    <t>MYS9218</t>
  </si>
  <si>
    <t>MYS9285</t>
  </si>
  <si>
    <t>MYS9242</t>
  </si>
  <si>
    <t>MYS9239</t>
  </si>
  <si>
    <t>MYS9240</t>
  </si>
  <si>
    <t>MYS9219</t>
  </si>
  <si>
    <t>MYS9220</t>
  </si>
  <si>
    <t>MYS9216</t>
  </si>
  <si>
    <t>MYS9217</t>
  </si>
  <si>
    <t>MYS9251</t>
  </si>
  <si>
    <t>MYS9244</t>
  </si>
  <si>
    <t>MYS9241</t>
  </si>
  <si>
    <t>MYS9245</t>
  </si>
  <si>
    <t>MYS9246</t>
  </si>
  <si>
    <t>MYS9247</t>
  </si>
  <si>
    <t>MYS9248</t>
  </si>
  <si>
    <t>MYS9175</t>
  </si>
  <si>
    <t>MYS9179</t>
  </si>
  <si>
    <t>MYS9187</t>
  </si>
  <si>
    <t>MYS9174</t>
  </si>
  <si>
    <t>MYS9394</t>
  </si>
  <si>
    <t>MYS9307</t>
  </si>
  <si>
    <t>MYS9309</t>
  </si>
  <si>
    <t>NYS9283</t>
  </si>
  <si>
    <t>MYS9286</t>
  </si>
  <si>
    <t>MYS9284</t>
  </si>
  <si>
    <t>MYS9287</t>
  </si>
  <si>
    <t>MYS9303</t>
  </si>
  <si>
    <t>MYS9306</t>
  </si>
  <si>
    <t>MYS9304</t>
  </si>
  <si>
    <t>MYS9305</t>
  </si>
  <si>
    <t>MYS9378</t>
  </si>
  <si>
    <t>MYS9333</t>
  </si>
  <si>
    <t>MYS9363</t>
  </si>
  <si>
    <t>MYS9332</t>
  </si>
  <si>
    <t>MYS9371</t>
  </si>
  <si>
    <t>MYS9372</t>
  </si>
  <si>
    <t>MYS9373</t>
  </si>
  <si>
    <t>MYS9375</t>
  </si>
  <si>
    <t>MYS9376</t>
  </si>
  <si>
    <t>MYS9358</t>
  </si>
  <si>
    <t>MYS9359</t>
  </si>
  <si>
    <t>MYS9459</t>
  </si>
  <si>
    <t>MYS9360</t>
  </si>
  <si>
    <t>MYS9361</t>
  </si>
  <si>
    <t>MYS9362</t>
  </si>
  <si>
    <t>MYS9369</t>
  </si>
  <si>
    <t>MYS9364</t>
  </si>
  <si>
    <t>MYS9370</t>
  </si>
  <si>
    <t>MYS9374</t>
  </si>
  <si>
    <t>MYS9577</t>
  </si>
  <si>
    <t>MYS9377</t>
  </si>
  <si>
    <t>MYS9445</t>
  </si>
  <si>
    <t>MYS9388</t>
  </si>
  <si>
    <t>3376</t>
  </si>
  <si>
    <t>MYS9391</t>
  </si>
  <si>
    <t>MYS9392</t>
  </si>
  <si>
    <t>MYS9389</t>
  </si>
  <si>
    <t>MYS9393</t>
  </si>
  <si>
    <t>MYS9446</t>
  </si>
  <si>
    <t>MYS9447</t>
  </si>
  <si>
    <t>MYS9448</t>
  </si>
  <si>
    <t>MYS9449</t>
  </si>
  <si>
    <t>MYS9451</t>
  </si>
  <si>
    <t>MYS9454</t>
  </si>
  <si>
    <t>MYS9456</t>
  </si>
  <si>
    <t>MYS9452</t>
  </si>
  <si>
    <t>MYS9453</t>
  </si>
  <si>
    <t>MYS9455</t>
  </si>
  <si>
    <t>MYS9458</t>
  </si>
  <si>
    <t>MYS9460</t>
  </si>
  <si>
    <t>MYS9461</t>
  </si>
  <si>
    <t>MYS9462</t>
  </si>
  <si>
    <t>MYS9464</t>
  </si>
  <si>
    <t xml:space="preserve">Leabua Phalatsi </t>
  </si>
  <si>
    <t>1696</t>
  </si>
  <si>
    <t>1921</t>
  </si>
  <si>
    <t>2060</t>
  </si>
  <si>
    <t>3381</t>
  </si>
  <si>
    <t>3657</t>
  </si>
  <si>
    <t>1820</t>
  </si>
  <si>
    <t>1922</t>
  </si>
  <si>
    <t>3658</t>
  </si>
  <si>
    <t>3382</t>
  </si>
  <si>
    <t>1701</t>
  </si>
  <si>
    <t>2061</t>
  </si>
  <si>
    <t>3383</t>
  </si>
  <si>
    <t>1923</t>
  </si>
  <si>
    <t>3659</t>
  </si>
  <si>
    <t>1702</t>
  </si>
  <si>
    <t>1924</t>
  </si>
  <si>
    <t>2062</t>
  </si>
  <si>
    <t>3384</t>
  </si>
  <si>
    <t>2063</t>
  </si>
  <si>
    <t>3660</t>
  </si>
  <si>
    <t>1703</t>
  </si>
  <si>
    <t>1925</t>
  </si>
  <si>
    <t>1823</t>
  </si>
  <si>
    <t>3385</t>
  </si>
  <si>
    <t>3661</t>
  </si>
  <si>
    <t>2064</t>
  </si>
  <si>
    <t>4049</t>
  </si>
  <si>
    <t>1926</t>
  </si>
  <si>
    <t>3294</t>
  </si>
  <si>
    <t>3386</t>
  </si>
  <si>
    <t>2065</t>
  </si>
  <si>
    <t>1824</t>
  </si>
  <si>
    <t>3662</t>
  </si>
  <si>
    <t>1705</t>
  </si>
  <si>
    <t>1704</t>
  </si>
  <si>
    <t>3295</t>
  </si>
  <si>
    <t>1822</t>
  </si>
  <si>
    <t>3292</t>
  </si>
  <si>
    <t>3293</t>
  </si>
  <si>
    <t>1821</t>
  </si>
  <si>
    <t>3291</t>
  </si>
  <si>
    <t>INV0005372</t>
  </si>
  <si>
    <t>INV0005373</t>
  </si>
  <si>
    <t>INV0005374</t>
  </si>
  <si>
    <t>INV0005375</t>
  </si>
  <si>
    <t>INV0005376</t>
  </si>
  <si>
    <t>INV0005377</t>
  </si>
  <si>
    <t>INV0005378</t>
  </si>
  <si>
    <t>INV0005379</t>
  </si>
  <si>
    <t>INV0005380</t>
  </si>
  <si>
    <t>INV0005381</t>
  </si>
  <si>
    <t>INV0005382</t>
  </si>
  <si>
    <t>INV0005383</t>
  </si>
  <si>
    <t>INV0005384</t>
  </si>
  <si>
    <t>INV0005385</t>
  </si>
  <si>
    <t>INV0005386</t>
  </si>
  <si>
    <t>INV0005387</t>
  </si>
  <si>
    <t>INV0005388</t>
  </si>
  <si>
    <t>INV0005389</t>
  </si>
  <si>
    <t>INV0005390</t>
  </si>
  <si>
    <t>INV0005391</t>
  </si>
  <si>
    <t>INV0005392</t>
  </si>
  <si>
    <t>INV0005393</t>
  </si>
  <si>
    <t>INV0005394</t>
  </si>
  <si>
    <t>INV0005395</t>
  </si>
  <si>
    <t>INV0005396</t>
  </si>
  <si>
    <t>INV0005397</t>
  </si>
  <si>
    <t>INV0005398</t>
  </si>
  <si>
    <t>INV0005399</t>
  </si>
  <si>
    <t>INV0005400</t>
  </si>
  <si>
    <t>INV0005401</t>
  </si>
  <si>
    <t>INV0005402</t>
  </si>
  <si>
    <t>INV0005403</t>
  </si>
  <si>
    <t>INV0005404</t>
  </si>
  <si>
    <t>INV0005405</t>
  </si>
  <si>
    <t>INV0005406</t>
  </si>
  <si>
    <t>INV0005407</t>
  </si>
  <si>
    <t>INV0005408</t>
  </si>
  <si>
    <t>INV0005409</t>
  </si>
  <si>
    <t>3723</t>
  </si>
  <si>
    <t>1927</t>
  </si>
  <si>
    <t>3663</t>
  </si>
  <si>
    <t>INV0005410</t>
  </si>
  <si>
    <t>INV0005411</t>
  </si>
  <si>
    <t>INV0005412</t>
  </si>
  <si>
    <t>INV0005413</t>
  </si>
  <si>
    <t>INV0005414</t>
  </si>
  <si>
    <t>MYS9558</t>
  </si>
  <si>
    <t>MYS9468</t>
  </si>
  <si>
    <t>MYS9474</t>
  </si>
  <si>
    <t>MYS9473</t>
  </si>
  <si>
    <t>MYS9472</t>
  </si>
  <si>
    <t>MYS9471</t>
  </si>
  <si>
    <t>MYS9469</t>
  </si>
  <si>
    <t>INV0005415</t>
  </si>
  <si>
    <t>1706</t>
  </si>
  <si>
    <t>3724</t>
  </si>
  <si>
    <t>IK</t>
  </si>
  <si>
    <t>1825</t>
  </si>
  <si>
    <t>2066</t>
  </si>
  <si>
    <t>ik</t>
  </si>
  <si>
    <t>3296</t>
  </si>
  <si>
    <t>3297</t>
  </si>
  <si>
    <t>2067</t>
  </si>
  <si>
    <t>4050</t>
  </si>
  <si>
    <t>3725</t>
  </si>
  <si>
    <t>1826</t>
  </si>
  <si>
    <t>1707</t>
  </si>
  <si>
    <t>1928</t>
  </si>
  <si>
    <t>1708</t>
  </si>
  <si>
    <t>3726</t>
  </si>
  <si>
    <t>4051</t>
  </si>
  <si>
    <t>2068</t>
  </si>
  <si>
    <t>1827</t>
  </si>
  <si>
    <t>1929</t>
  </si>
  <si>
    <t>2069</t>
  </si>
  <si>
    <t>3727</t>
  </si>
  <si>
    <t>3299</t>
  </si>
  <si>
    <t>1930</t>
  </si>
  <si>
    <t>2070</t>
  </si>
  <si>
    <t>1828</t>
  </si>
  <si>
    <t>1710</t>
  </si>
  <si>
    <t>3300</t>
  </si>
  <si>
    <t>4053</t>
  </si>
  <si>
    <t>3664</t>
  </si>
  <si>
    <t>1931</t>
  </si>
  <si>
    <t>3728</t>
  </si>
  <si>
    <t>2071</t>
  </si>
  <si>
    <t>1711</t>
  </si>
  <si>
    <t>1829</t>
  </si>
  <si>
    <t>1709</t>
  </si>
  <si>
    <t>3298</t>
  </si>
  <si>
    <t>4052</t>
  </si>
  <si>
    <t>INV0005416</t>
  </si>
  <si>
    <t>INV0005417</t>
  </si>
  <si>
    <t>INV0005418</t>
  </si>
  <si>
    <t>INV0005419</t>
  </si>
  <si>
    <t>INV0005420</t>
  </si>
  <si>
    <t>INV0005421</t>
  </si>
  <si>
    <t>INV0005422</t>
  </si>
  <si>
    <t>INV0005424</t>
  </si>
  <si>
    <t>INV0005425</t>
  </si>
  <si>
    <t>INV0005423</t>
  </si>
  <si>
    <t>INV0005426</t>
  </si>
  <si>
    <t>INV0005427</t>
  </si>
  <si>
    <t>INV0005428</t>
  </si>
  <si>
    <t>INV0005429</t>
  </si>
  <si>
    <t>INV0005430</t>
  </si>
  <si>
    <t>INV0005431</t>
  </si>
  <si>
    <t>INV0005432</t>
  </si>
  <si>
    <t>INV0005433</t>
  </si>
  <si>
    <t>INV0005434</t>
  </si>
  <si>
    <t>INV0005435</t>
  </si>
  <si>
    <t>INV0005436</t>
  </si>
  <si>
    <t>INV0005437</t>
  </si>
  <si>
    <t>INV0005438</t>
  </si>
  <si>
    <t>INV0005439</t>
  </si>
  <si>
    <t>INV0005443</t>
  </si>
  <si>
    <t>INV0005444</t>
  </si>
  <si>
    <t>INV0005440</t>
  </si>
  <si>
    <t>INV0005441</t>
  </si>
  <si>
    <t>INV0005442</t>
  </si>
  <si>
    <t>INV0005445</t>
  </si>
  <si>
    <t>INV0005446</t>
  </si>
  <si>
    <t>INV0005447</t>
  </si>
  <si>
    <t>INV0005448</t>
  </si>
  <si>
    <t>INV0005449</t>
  </si>
  <si>
    <t>INV0005450</t>
  </si>
  <si>
    <t>INV0005451</t>
  </si>
  <si>
    <t>INV0005452</t>
  </si>
  <si>
    <t>3801</t>
  </si>
  <si>
    <t>4054</t>
  </si>
  <si>
    <t>4055</t>
  </si>
  <si>
    <t>3802</t>
  </si>
  <si>
    <t>1830</t>
  </si>
  <si>
    <t>2072</t>
  </si>
  <si>
    <t>3729</t>
  </si>
  <si>
    <t>1712</t>
  </si>
  <si>
    <t>1932</t>
  </si>
  <si>
    <t>3665</t>
  </si>
  <si>
    <t>1831</t>
  </si>
  <si>
    <t>3666</t>
  </si>
  <si>
    <t>4056</t>
  </si>
  <si>
    <t>2073</t>
  </si>
  <si>
    <t>1933</t>
  </si>
  <si>
    <t>3387</t>
  </si>
  <si>
    <t>1713</t>
  </si>
  <si>
    <t>4057</t>
  </si>
  <si>
    <t>1832</t>
  </si>
  <si>
    <t>3809</t>
  </si>
  <si>
    <t>1934</t>
  </si>
  <si>
    <t>1714</t>
  </si>
  <si>
    <t>3388</t>
  </si>
  <si>
    <t>3667</t>
  </si>
  <si>
    <t>2074</t>
  </si>
  <si>
    <t>3730</t>
  </si>
  <si>
    <t>3810</t>
  </si>
  <si>
    <t>4058</t>
  </si>
  <si>
    <t>1935</t>
  </si>
  <si>
    <t>1715</t>
  </si>
  <si>
    <t>1833</t>
  </si>
  <si>
    <t>3389</t>
  </si>
  <si>
    <t>2075</t>
  </si>
  <si>
    <t>3731</t>
  </si>
  <si>
    <t>3811</t>
  </si>
  <si>
    <t>3390</t>
  </si>
  <si>
    <t>4059</t>
  </si>
  <si>
    <t>3668</t>
  </si>
  <si>
    <t>1716</t>
  </si>
  <si>
    <t>1834</t>
  </si>
  <si>
    <t>2077</t>
  </si>
  <si>
    <t>3732</t>
  </si>
  <si>
    <t>3812</t>
  </si>
  <si>
    <t>1936</t>
  </si>
  <si>
    <t>3391</t>
  </si>
  <si>
    <t>MYS9470</t>
  </si>
  <si>
    <t>MYS9532</t>
  </si>
  <si>
    <t>MYS9531</t>
  </si>
  <si>
    <t>MYS9535</t>
  </si>
  <si>
    <t>MYS9533</t>
  </si>
  <si>
    <t>MYS9534</t>
  </si>
  <si>
    <t>MYS9510</t>
  </si>
  <si>
    <t>MYS9542</t>
  </si>
  <si>
    <t>MYS9530</t>
  </si>
  <si>
    <t>MYS9572</t>
  </si>
  <si>
    <t>MYS9539</t>
  </si>
  <si>
    <t>MYS9538</t>
  </si>
  <si>
    <t>MYS9561</t>
  </si>
  <si>
    <t>MYS9541</t>
  </si>
  <si>
    <t>MYS9562</t>
  </si>
  <si>
    <t>MYS9540</t>
  </si>
  <si>
    <t>MYS9560</t>
  </si>
  <si>
    <t>MYS9559</t>
  </si>
  <si>
    <t>MYS9537</t>
  </si>
  <si>
    <t>MYS9536</t>
  </si>
  <si>
    <t>MYS9599</t>
  </si>
  <si>
    <t>MYS9598</t>
  </si>
  <si>
    <t>MYS9597</t>
  </si>
  <si>
    <t>MYS9596</t>
  </si>
  <si>
    <t>MYS9595</t>
  </si>
  <si>
    <t>MYS9594</t>
  </si>
  <si>
    <t>MYS9648</t>
  </si>
  <si>
    <t>MYS9647</t>
  </si>
  <si>
    <t>MYS9646</t>
  </si>
  <si>
    <t>MYS9645</t>
  </si>
  <si>
    <t>MYS9619</t>
  </si>
  <si>
    <t>MYS9644</t>
  </si>
  <si>
    <t>MYS9643</t>
  </si>
  <si>
    <t>MYS9642</t>
  </si>
  <si>
    <t>MYS9641</t>
  </si>
  <si>
    <t>MYS9640</t>
  </si>
  <si>
    <t>MYS9639</t>
  </si>
  <si>
    <t>MYS9638</t>
  </si>
  <si>
    <t>MYS9617</t>
  </si>
  <si>
    <t>MYS9662</t>
  </si>
  <si>
    <t>MYS9661</t>
  </si>
  <si>
    <t>MYS9660</t>
  </si>
  <si>
    <t>MYS9659</t>
  </si>
  <si>
    <t>MYS9658</t>
  </si>
  <si>
    <t>MYS9657</t>
  </si>
  <si>
    <t>MYS9680</t>
  </si>
  <si>
    <t>MYS9679</t>
  </si>
  <si>
    <t>MYS9678</t>
  </si>
  <si>
    <t>MYS9677</t>
  </si>
  <si>
    <t>MYS9675</t>
  </si>
  <si>
    <t>MYS9710</t>
  </si>
  <si>
    <t>MYS9709</t>
  </si>
  <si>
    <t>MYS9746</t>
  </si>
  <si>
    <t>MYS9708</t>
  </si>
  <si>
    <t>MYS9740</t>
  </si>
  <si>
    <t>MYS9741</t>
  </si>
  <si>
    <t>MYS9742</t>
  </si>
  <si>
    <t>MYS9743</t>
  </si>
  <si>
    <t>MYS9744</t>
  </si>
  <si>
    <t>MYS9745</t>
  </si>
  <si>
    <t>MYS9747</t>
  </si>
  <si>
    <t>MYS9748</t>
  </si>
  <si>
    <t>MYS9749</t>
  </si>
  <si>
    <t>MYS9750</t>
  </si>
  <si>
    <t>MYS9751</t>
  </si>
  <si>
    <t>MYS9752</t>
  </si>
  <si>
    <t>MYS9475</t>
  </si>
  <si>
    <t>MYS9476</t>
  </si>
  <si>
    <t>MYS9479</t>
  </si>
  <si>
    <t>MYS9482</t>
  </si>
  <si>
    <t>MYS9478</t>
  </si>
  <si>
    <t>MYS9483</t>
  </si>
  <si>
    <t>MYS9701</t>
  </si>
  <si>
    <t>MYS9700</t>
  </si>
  <si>
    <t>MYS9699</t>
  </si>
  <si>
    <t>MYS9697</t>
  </si>
  <si>
    <t>MYS9511</t>
  </si>
  <si>
    <t>MYS9509</t>
  </si>
  <si>
    <t>MYS9508</t>
  </si>
  <si>
    <t>MYS9698</t>
  </si>
  <si>
    <t>MYS9676</t>
  </si>
  <si>
    <t>1717</t>
  </si>
  <si>
    <t>4060</t>
  </si>
  <si>
    <t>3669</t>
  </si>
  <si>
    <t>Wentworth to SENEKALOVK</t>
  </si>
  <si>
    <t>2078</t>
  </si>
  <si>
    <t>1835</t>
  </si>
  <si>
    <t>3392</t>
  </si>
  <si>
    <t>1937</t>
  </si>
  <si>
    <t>3733</t>
  </si>
  <si>
    <t>3670</t>
  </si>
  <si>
    <t>4061</t>
  </si>
  <si>
    <t>3393</t>
  </si>
  <si>
    <t>1836</t>
  </si>
  <si>
    <t>3814</t>
  </si>
  <si>
    <t>1938</t>
  </si>
  <si>
    <t>3734</t>
  </si>
  <si>
    <t>4062</t>
  </si>
  <si>
    <t>1719</t>
  </si>
  <si>
    <t>3671</t>
  </si>
  <si>
    <t>3735</t>
  </si>
  <si>
    <t>3394</t>
  </si>
  <si>
    <t>3815</t>
  </si>
  <si>
    <t>1939</t>
  </si>
  <si>
    <t>1837</t>
  </si>
  <si>
    <t>4063</t>
  </si>
  <si>
    <t>1720</t>
  </si>
  <si>
    <t>3395</t>
  </si>
  <si>
    <t>3736</t>
  </si>
  <si>
    <t>3672</t>
  </si>
  <si>
    <t>1940</t>
  </si>
  <si>
    <t>3816</t>
  </si>
  <si>
    <t>1838</t>
  </si>
  <si>
    <t>INV0005468</t>
  </si>
  <si>
    <t>INV0005469</t>
  </si>
  <si>
    <t>INV0005470</t>
  </si>
  <si>
    <t>INV0005471</t>
  </si>
  <si>
    <t>INV0005472</t>
  </si>
  <si>
    <t>INV0005473</t>
  </si>
  <si>
    <t>INV0005474</t>
  </si>
  <si>
    <t>INV0005475</t>
  </si>
  <si>
    <t>INV0005476</t>
  </si>
  <si>
    <t>INV0005477</t>
  </si>
  <si>
    <t>INV0005478</t>
  </si>
  <si>
    <t>INV0005479</t>
  </si>
  <si>
    <t>INV0005480</t>
  </si>
  <si>
    <t>INV0005481</t>
  </si>
  <si>
    <t>INV0005482</t>
  </si>
  <si>
    <t>INV0005483</t>
  </si>
  <si>
    <t>INV0005484</t>
  </si>
  <si>
    <t>INV0005485</t>
  </si>
  <si>
    <t>INV0005486</t>
  </si>
  <si>
    <t>INV0005487</t>
  </si>
  <si>
    <t>INV0005488</t>
  </si>
  <si>
    <t>INV0005489</t>
  </si>
  <si>
    <t>INV0005490</t>
  </si>
  <si>
    <t>INV0005491</t>
  </si>
  <si>
    <t>INV0005492</t>
  </si>
  <si>
    <t>INV0005493</t>
  </si>
  <si>
    <t>INV0005494</t>
  </si>
  <si>
    <t>INV0005495</t>
  </si>
  <si>
    <t>INV0005496</t>
  </si>
  <si>
    <t>INV0005497</t>
  </si>
  <si>
    <t>INV0005498</t>
  </si>
  <si>
    <t>INV0005499</t>
  </si>
  <si>
    <t>INV0005500</t>
  </si>
  <si>
    <t>INV0005501</t>
  </si>
  <si>
    <t>INV0005502</t>
  </si>
  <si>
    <t>INV0005503</t>
  </si>
  <si>
    <t>INV0005504</t>
  </si>
  <si>
    <t>INV0005505</t>
  </si>
  <si>
    <t>INV0005506</t>
  </si>
  <si>
    <t>INV0005507</t>
  </si>
  <si>
    <t>INV0005508</t>
  </si>
  <si>
    <t>INV0005509</t>
  </si>
  <si>
    <t>INV0005510</t>
  </si>
  <si>
    <t>INV0005511</t>
  </si>
  <si>
    <t>INV0005512</t>
  </si>
  <si>
    <t>INV0005513</t>
  </si>
  <si>
    <t>INV0005514</t>
  </si>
  <si>
    <t>INV0005515</t>
  </si>
  <si>
    <t>INV0005516</t>
  </si>
  <si>
    <t>INV0005517</t>
  </si>
  <si>
    <t>INV0005532</t>
  </si>
  <si>
    <t>INV0005518</t>
  </si>
  <si>
    <t>INV0005519</t>
  </si>
  <si>
    <t>INV0005520</t>
  </si>
  <si>
    <t>INV0005521</t>
  </si>
  <si>
    <t>INV0005522</t>
  </si>
  <si>
    <t>INV0005523</t>
  </si>
  <si>
    <t>INV0005524</t>
  </si>
  <si>
    <t>INV0005525</t>
  </si>
  <si>
    <t>INV0005526</t>
  </si>
  <si>
    <t>INV0005527</t>
  </si>
  <si>
    <t>INV0005528</t>
  </si>
  <si>
    <t>INV0005529</t>
  </si>
  <si>
    <t>INV0005530</t>
  </si>
  <si>
    <t>INV0005531</t>
  </si>
  <si>
    <t>INV0005533</t>
  </si>
  <si>
    <t>INV0005534</t>
  </si>
  <si>
    <t>INV0005535</t>
  </si>
  <si>
    <t>INV0005536</t>
  </si>
  <si>
    <t>INV0005537</t>
  </si>
  <si>
    <t>INV0005538</t>
  </si>
  <si>
    <t>INV0005539</t>
  </si>
  <si>
    <t>INV0005540</t>
  </si>
  <si>
    <t>INV0005541</t>
  </si>
  <si>
    <t>INV0005542</t>
  </si>
  <si>
    <t>INV0005543</t>
  </si>
  <si>
    <t>INV0005544</t>
  </si>
  <si>
    <t>5516702/104</t>
  </si>
  <si>
    <t>5520889/104</t>
  </si>
  <si>
    <t>INV0005545</t>
  </si>
  <si>
    <t>INV0005546</t>
  </si>
  <si>
    <t>1718</t>
  </si>
  <si>
    <t>3813</t>
  </si>
  <si>
    <t>MYS9755</t>
  </si>
  <si>
    <t>MYS9754</t>
  </si>
  <si>
    <t>MYS9753</t>
  </si>
  <si>
    <t>MYS9778</t>
  </si>
  <si>
    <t>MYS9780</t>
  </si>
  <si>
    <t>MYS9779</t>
  </si>
  <si>
    <t>MYS9782</t>
  </si>
  <si>
    <t>MYS9781</t>
  </si>
  <si>
    <t>MYS9828</t>
  </si>
  <si>
    <t>MYS9839</t>
  </si>
  <si>
    <t>MYS9834</t>
  </si>
  <si>
    <t>MYS9798</t>
  </si>
  <si>
    <t>MYS9797</t>
  </si>
  <si>
    <t>MYS9795</t>
  </si>
  <si>
    <t>MYS9794</t>
  </si>
  <si>
    <t>MYS9793</t>
  </si>
  <si>
    <t>MYS9791</t>
  </si>
  <si>
    <t>MYS9790</t>
  </si>
  <si>
    <t>MYS9817</t>
  </si>
  <si>
    <t>MYS9816</t>
  </si>
  <si>
    <t>MYS9916</t>
  </si>
  <si>
    <t>MYS9830</t>
  </si>
  <si>
    <t>MYS9833</t>
  </si>
  <si>
    <t>MYS9832</t>
  </si>
  <si>
    <t>MYS9831</t>
  </si>
  <si>
    <t>MYS9829</t>
  </si>
  <si>
    <t>MYS9827</t>
  </si>
  <si>
    <t>MYS9858</t>
  </si>
  <si>
    <t>MYS9857</t>
  </si>
  <si>
    <t>MYS9861</t>
  </si>
  <si>
    <t>MYS9860</t>
  </si>
  <si>
    <t>MYS9859</t>
  </si>
  <si>
    <t>MYS9856</t>
  </si>
  <si>
    <t>MYS9855</t>
  </si>
  <si>
    <t>MYS9854</t>
  </si>
  <si>
    <t>MYS9853</t>
  </si>
  <si>
    <t>MYS9876</t>
  </si>
  <si>
    <t>MYS9875</t>
  </si>
  <si>
    <t>MYS9874</t>
  </si>
  <si>
    <t>MYS9873</t>
  </si>
  <si>
    <t>MYS9978</t>
  </si>
  <si>
    <t>MYS9872</t>
  </si>
  <si>
    <t>MYS9871</t>
  </si>
  <si>
    <t>MYS9870</t>
  </si>
  <si>
    <t>MYS9869</t>
  </si>
  <si>
    <t>MYS9929</t>
  </si>
  <si>
    <t>MYS9928</t>
  </si>
  <si>
    <t>MYS9927</t>
  </si>
  <si>
    <t>MYS9920</t>
  </si>
  <si>
    <t>MYS9926</t>
  </si>
  <si>
    <t>MYS9925</t>
  </si>
  <si>
    <t>MYS9924</t>
  </si>
  <si>
    <t>MYS9923</t>
  </si>
  <si>
    <t>MYS9922</t>
  </si>
  <si>
    <t>MYS9921</t>
  </si>
  <si>
    <t>MYS9919</t>
  </si>
  <si>
    <t>MYS9918</t>
  </si>
  <si>
    <t>MYS9915</t>
  </si>
  <si>
    <t>MYS9914</t>
  </si>
  <si>
    <t>MYS9917</t>
  </si>
  <si>
    <t>MYS9933</t>
  </si>
  <si>
    <t>MYS9932</t>
  </si>
  <si>
    <t>MYS9931</t>
  </si>
  <si>
    <t>MYS9930</t>
  </si>
  <si>
    <t>MYS9982</t>
  </si>
  <si>
    <t>MYS9981</t>
  </si>
  <si>
    <t>MYS9980</t>
  </si>
  <si>
    <t>MYS9979</t>
  </si>
  <si>
    <t>MYS9977</t>
  </si>
  <si>
    <t>MYS9976</t>
  </si>
  <si>
    <t>MYS10018</t>
  </si>
  <si>
    <t>MYS10017</t>
  </si>
  <si>
    <t>MYS10016</t>
  </si>
  <si>
    <t>MYS10015</t>
  </si>
  <si>
    <t>MYS10014</t>
  </si>
  <si>
    <t>MYS10013</t>
  </si>
  <si>
    <t>MYS10046</t>
  </si>
  <si>
    <t>MYS10045</t>
  </si>
  <si>
    <t>5529099/225</t>
  </si>
  <si>
    <t>Wentworth to Hobhouse</t>
  </si>
  <si>
    <t>5528740/104</t>
  </si>
  <si>
    <t>Wentworth to Senekal</t>
  </si>
  <si>
    <t>Wentworth to Ventersburg</t>
  </si>
  <si>
    <t>5528742/104</t>
  </si>
  <si>
    <t>5531801/104</t>
  </si>
  <si>
    <t>5531804/104</t>
  </si>
  <si>
    <t xml:space="preserve">wentworth to Dewetsdorp </t>
  </si>
  <si>
    <t>5533208/230</t>
  </si>
  <si>
    <t>Wentworth to Senekal/Steynsrus</t>
  </si>
  <si>
    <t>426505828/426905834</t>
  </si>
  <si>
    <t>802748726/802748728</t>
  </si>
  <si>
    <t>5532760/123/5532761/104</t>
  </si>
  <si>
    <t>4065</t>
  </si>
  <si>
    <t>2080</t>
  </si>
  <si>
    <t>4064</t>
  </si>
  <si>
    <t>3817</t>
  </si>
  <si>
    <t>1941</t>
  </si>
  <si>
    <t>3737</t>
  </si>
  <si>
    <t>1942</t>
  </si>
  <si>
    <t>4066/4067</t>
  </si>
  <si>
    <t>5538590/107</t>
  </si>
  <si>
    <t>5538875/104</t>
  </si>
  <si>
    <t>3396</t>
  </si>
  <si>
    <t>1721</t>
  </si>
  <si>
    <t>5541532/104</t>
  </si>
  <si>
    <t>5541711/104</t>
  </si>
  <si>
    <t>3738</t>
  </si>
  <si>
    <t>4068</t>
  </si>
  <si>
    <t>5543396/240</t>
  </si>
  <si>
    <t>Wentworth to Zastron</t>
  </si>
  <si>
    <t>5542145/120</t>
  </si>
  <si>
    <t>5543439/104</t>
  </si>
  <si>
    <t>5543445/104</t>
  </si>
  <si>
    <t>3397</t>
  </si>
  <si>
    <t>3673/3674</t>
  </si>
  <si>
    <t>3818</t>
  </si>
  <si>
    <t>1944</t>
  </si>
  <si>
    <t>Wentworth to Ladybrand</t>
  </si>
  <si>
    <t>5544570/356</t>
  </si>
  <si>
    <t>5544810/107</t>
  </si>
  <si>
    <t>1722</t>
  </si>
  <si>
    <t>5544809/107</t>
  </si>
  <si>
    <t>5544877/104</t>
  </si>
  <si>
    <t>5555879/104</t>
  </si>
  <si>
    <t>4069</t>
  </si>
  <si>
    <t>3398</t>
  </si>
  <si>
    <t>5544880/104</t>
  </si>
  <si>
    <t xml:space="preserve">Wentworth to Senekal </t>
  </si>
  <si>
    <t>1945</t>
  </si>
  <si>
    <t>5544899/104</t>
  </si>
  <si>
    <t>3675</t>
  </si>
  <si>
    <t>5546599/107</t>
  </si>
  <si>
    <t>1723</t>
  </si>
  <si>
    <t>4070</t>
  </si>
  <si>
    <t>3399</t>
  </si>
  <si>
    <t>5547113/104</t>
  </si>
  <si>
    <t>IVT to Mokopane</t>
  </si>
  <si>
    <t>1946</t>
  </si>
  <si>
    <t>5548162/0133</t>
  </si>
  <si>
    <t>5548163/0133</t>
  </si>
  <si>
    <t>5547151/104</t>
  </si>
  <si>
    <t>5548620/0133</t>
  </si>
  <si>
    <t xml:space="preserve">Wentworth to Wesselsbron </t>
  </si>
  <si>
    <t>3676</t>
  </si>
  <si>
    <t>4071</t>
  </si>
  <si>
    <t>5547153/104</t>
  </si>
  <si>
    <t>3400</t>
  </si>
  <si>
    <t>2081</t>
  </si>
  <si>
    <t>1724</t>
  </si>
  <si>
    <t>1947</t>
  </si>
  <si>
    <t>1839</t>
  </si>
  <si>
    <t>INV0005548</t>
  </si>
  <si>
    <t>INV0005549</t>
  </si>
  <si>
    <t>INV0005550</t>
  </si>
  <si>
    <t>INV0005551</t>
  </si>
  <si>
    <t>INV0005552</t>
  </si>
  <si>
    <t>INV0005553</t>
  </si>
  <si>
    <t>INV0005554</t>
  </si>
  <si>
    <t>INV0005555</t>
  </si>
  <si>
    <t>INV0005556</t>
  </si>
  <si>
    <t>INV0005557</t>
  </si>
  <si>
    <t>INV0005558</t>
  </si>
  <si>
    <t>INV0005559</t>
  </si>
  <si>
    <t>INV0005560</t>
  </si>
  <si>
    <t>INV0005561</t>
  </si>
  <si>
    <t>INV0005562</t>
  </si>
  <si>
    <t>INV0005563</t>
  </si>
  <si>
    <t>INV0005564</t>
  </si>
  <si>
    <t>INV0005565</t>
  </si>
  <si>
    <t>INV0005566</t>
  </si>
  <si>
    <t>INV0005567</t>
  </si>
  <si>
    <t>INV0005568</t>
  </si>
  <si>
    <t>INV0005569</t>
  </si>
  <si>
    <t>INV0005570</t>
  </si>
  <si>
    <t>INV0005571</t>
  </si>
  <si>
    <t>INV0005572</t>
  </si>
  <si>
    <t>INV0005573</t>
  </si>
  <si>
    <t>INV0005574</t>
  </si>
  <si>
    <t>INV0005575</t>
  </si>
  <si>
    <t>INV0005576</t>
  </si>
  <si>
    <t>INV0005577</t>
  </si>
  <si>
    <t>INV0005578</t>
  </si>
  <si>
    <t>5547109/104</t>
  </si>
  <si>
    <t>INV0005579</t>
  </si>
  <si>
    <t>IVT to Hobhouse</t>
  </si>
  <si>
    <t>ULP96</t>
  </si>
  <si>
    <t>5551211/0356</t>
  </si>
  <si>
    <t>3819/3820/3821</t>
  </si>
  <si>
    <t>5547812/104</t>
  </si>
  <si>
    <t>4072</t>
  </si>
  <si>
    <t>55478186/225</t>
  </si>
  <si>
    <t>3901</t>
  </si>
  <si>
    <t>5547835/107</t>
  </si>
  <si>
    <t>1948</t>
  </si>
  <si>
    <t>5547810/104</t>
  </si>
  <si>
    <t>1840</t>
  </si>
  <si>
    <t>Wentworth to Bothaville</t>
  </si>
  <si>
    <t>5550206/0133</t>
  </si>
  <si>
    <t>3739</t>
  </si>
  <si>
    <t>INV0005580</t>
  </si>
  <si>
    <t>INV0005581</t>
  </si>
  <si>
    <t>INV0005582</t>
  </si>
  <si>
    <t>INV0005583</t>
  </si>
  <si>
    <t>INV0005584</t>
  </si>
  <si>
    <t>INV0005585</t>
  </si>
  <si>
    <t>Wentworth to Ficksburg</t>
  </si>
  <si>
    <t>Wentworth to Hoedspruit</t>
  </si>
  <si>
    <t>1841</t>
  </si>
  <si>
    <t>2082</t>
  </si>
  <si>
    <t>3822</t>
  </si>
  <si>
    <t>1949</t>
  </si>
  <si>
    <t>3902</t>
  </si>
  <si>
    <t>3678</t>
  </si>
  <si>
    <t>3740</t>
  </si>
  <si>
    <t>4074</t>
  </si>
  <si>
    <t>1842</t>
  </si>
  <si>
    <t>2083</t>
  </si>
  <si>
    <t>1950</t>
  </si>
  <si>
    <t>3904</t>
  </si>
  <si>
    <t>3677</t>
  </si>
  <si>
    <t>3823</t>
  </si>
  <si>
    <t>1843</t>
  </si>
  <si>
    <t>1951</t>
  </si>
  <si>
    <t>Wentworth to Ficksburg/Rosendal</t>
  </si>
  <si>
    <t>3741</t>
  </si>
  <si>
    <t>4075</t>
  </si>
  <si>
    <t>3679</t>
  </si>
  <si>
    <t>MYS10383</t>
  </si>
  <si>
    <t>MYS10032</t>
  </si>
  <si>
    <t>MYS10031</t>
  </si>
  <si>
    <t>MYS10035</t>
  </si>
  <si>
    <t>MYS10034</t>
  </si>
  <si>
    <t>MYS10293</t>
  </si>
  <si>
    <t>MYS10294</t>
  </si>
  <si>
    <t>MYS10296</t>
  </si>
  <si>
    <t>MYS10305</t>
  </si>
  <si>
    <t>MYS10297</t>
  </si>
  <si>
    <t>MYS10295</t>
  </si>
  <si>
    <t>MYS10298</t>
  </si>
  <si>
    <t>MYS10307</t>
  </si>
  <si>
    <t>MYS10299</t>
  </si>
  <si>
    <t>MYS10300</t>
  </si>
  <si>
    <t>MYS10301</t>
  </si>
  <si>
    <t>MYS10302</t>
  </si>
  <si>
    <t>MYS10303</t>
  </si>
  <si>
    <t>MYS10304</t>
  </si>
  <si>
    <t>MYS10308</t>
  </si>
  <si>
    <t>MYS10306</t>
  </si>
  <si>
    <t>MYS10309</t>
  </si>
  <si>
    <t>MYS10310</t>
  </si>
  <si>
    <t>MYS10311</t>
  </si>
  <si>
    <t>MYS10312</t>
  </si>
  <si>
    <t>MYS10313</t>
  </si>
  <si>
    <t>MYS10314</t>
  </si>
  <si>
    <t>MYS10316</t>
  </si>
  <si>
    <t>MYS10317</t>
  </si>
  <si>
    <t>MYS10315</t>
  </si>
  <si>
    <t>MYS10095</t>
  </si>
  <si>
    <t>MYS10291</t>
  </si>
  <si>
    <t>MYS10290</t>
  </si>
  <si>
    <t>MYS10289</t>
  </si>
  <si>
    <t>MYS10351</t>
  </si>
  <si>
    <t>MYS10288</t>
  </si>
  <si>
    <t>MYS10059</t>
  </si>
  <si>
    <t>MYS10033</t>
  </si>
  <si>
    <t>Wentworth to Thaba Nchu</t>
  </si>
  <si>
    <t>5565282/356</t>
  </si>
  <si>
    <t>3905/3907</t>
  </si>
  <si>
    <t>5568177/107</t>
  </si>
  <si>
    <t>Wentworth to Clocolan</t>
  </si>
  <si>
    <t>4076</t>
  </si>
  <si>
    <t>5569975/104</t>
  </si>
  <si>
    <t>3742</t>
  </si>
  <si>
    <t>5567189/107</t>
  </si>
  <si>
    <t>5569978/104</t>
  </si>
  <si>
    <t>3681</t>
  </si>
  <si>
    <t>4077</t>
  </si>
  <si>
    <t>3682</t>
  </si>
  <si>
    <t>428597511/428597529</t>
  </si>
  <si>
    <t>428576425/428576432</t>
  </si>
  <si>
    <t>3743</t>
  </si>
  <si>
    <t>Wentworth to Wesselsbron</t>
  </si>
  <si>
    <t>3824</t>
  </si>
  <si>
    <t>3683</t>
  </si>
  <si>
    <t>1844</t>
  </si>
  <si>
    <t>4079/4080</t>
  </si>
  <si>
    <t>3908/3909/3910</t>
  </si>
  <si>
    <t>Wentworth to Postmasburg</t>
  </si>
  <si>
    <t>3685/3684</t>
  </si>
  <si>
    <t>4081</t>
  </si>
  <si>
    <t>Wentworth to Vanderbijlpark</t>
  </si>
  <si>
    <t>3825</t>
  </si>
  <si>
    <t>5550295/104</t>
  </si>
  <si>
    <t>5550202/0133</t>
  </si>
  <si>
    <t>5550279/104</t>
  </si>
  <si>
    <t>5550291/104</t>
  </si>
  <si>
    <t>5550276/104</t>
  </si>
  <si>
    <t>5550193/0133</t>
  </si>
  <si>
    <t>5550181/0133</t>
  </si>
  <si>
    <t>5550192/0133</t>
  </si>
  <si>
    <t>5550189/0133</t>
  </si>
  <si>
    <t>5557260/225</t>
  </si>
  <si>
    <t>5562228/349</t>
  </si>
  <si>
    <t>5563828/133</t>
  </si>
  <si>
    <t>5563959/101</t>
  </si>
  <si>
    <t>5564026/104</t>
  </si>
  <si>
    <t>5568174/107</t>
  </si>
  <si>
    <t>5572375/104</t>
  </si>
  <si>
    <t>5573993/349</t>
  </si>
  <si>
    <t>5573996/219</t>
  </si>
  <si>
    <t>5573720/133</t>
  </si>
  <si>
    <t>5573724/133</t>
  </si>
  <si>
    <t>5575145/104</t>
  </si>
  <si>
    <t>Wentworth to excelsior/Tweespruit/Hobhouse</t>
  </si>
  <si>
    <t>5574210/225/5574212/112</t>
  </si>
  <si>
    <t>5572178/107/5572181/102</t>
  </si>
  <si>
    <t>HSR118FS</t>
  </si>
  <si>
    <t xml:space="preserve">Lesoli Majoro </t>
  </si>
  <si>
    <t>26650</t>
  </si>
  <si>
    <t>Majoro Lesoli</t>
  </si>
  <si>
    <t>28800</t>
  </si>
  <si>
    <t>HTD129FS</t>
  </si>
  <si>
    <t>Semoli Sofonea</t>
  </si>
  <si>
    <t>24046</t>
  </si>
  <si>
    <t>C241BBW</t>
  </si>
  <si>
    <t>Tieho Kobeli</t>
  </si>
  <si>
    <t>Wentworth to Vekerdelvei</t>
  </si>
  <si>
    <t>26628</t>
  </si>
  <si>
    <t>C894BBV</t>
  </si>
  <si>
    <t>Tumisang Setho</t>
  </si>
  <si>
    <t>28954</t>
  </si>
  <si>
    <t>C245BBW</t>
  </si>
  <si>
    <t>Wentworth to Boksburg</t>
  </si>
  <si>
    <t>Ik</t>
  </si>
  <si>
    <t>5550199/0133</t>
  </si>
  <si>
    <t>5565088/104</t>
  </si>
  <si>
    <t>5572377/104</t>
  </si>
  <si>
    <t>5574132/356</t>
  </si>
  <si>
    <t>5575139/104</t>
  </si>
  <si>
    <t>5576228/356</t>
  </si>
  <si>
    <t>5577781/107</t>
  </si>
  <si>
    <t>5577853/104</t>
  </si>
  <si>
    <t>5577854/104</t>
  </si>
  <si>
    <t>Wentworth to  Senekal</t>
  </si>
  <si>
    <t>4078</t>
  </si>
  <si>
    <t>3780</t>
  </si>
  <si>
    <t>4073</t>
  </si>
  <si>
    <t>INV0005599</t>
  </si>
  <si>
    <t>INV0005600</t>
  </si>
  <si>
    <t>INV0005601</t>
  </si>
  <si>
    <t>INV0005602</t>
  </si>
  <si>
    <t>INV0005603</t>
  </si>
  <si>
    <t>INV0005604</t>
  </si>
  <si>
    <t>INV0005605</t>
  </si>
  <si>
    <t>INV0005606</t>
  </si>
  <si>
    <t>INV0005607</t>
  </si>
  <si>
    <t>INV0005608</t>
  </si>
  <si>
    <t>INV0005609</t>
  </si>
  <si>
    <t>INV0005610</t>
  </si>
  <si>
    <t>INV0005611</t>
  </si>
  <si>
    <t>INV0005612</t>
  </si>
  <si>
    <t>INV0005613</t>
  </si>
  <si>
    <t>INV0005614</t>
  </si>
  <si>
    <t>INV0005615</t>
  </si>
  <si>
    <t>INV0005616</t>
  </si>
  <si>
    <t>INV0005617</t>
  </si>
  <si>
    <t>INV0005618</t>
  </si>
  <si>
    <t>INV0005619</t>
  </si>
  <si>
    <t>INV0005620</t>
  </si>
  <si>
    <t>INV0005621</t>
  </si>
  <si>
    <t>INV0005622</t>
  </si>
  <si>
    <t>INV0005623</t>
  </si>
  <si>
    <t>INV0005624</t>
  </si>
  <si>
    <t>INV0005625</t>
  </si>
  <si>
    <t>INV0005626</t>
  </si>
  <si>
    <t>INV0005627</t>
  </si>
  <si>
    <t>INV0005628</t>
  </si>
  <si>
    <t>INV0005629</t>
  </si>
  <si>
    <t>INV0005630</t>
  </si>
  <si>
    <t>INV0005631</t>
  </si>
  <si>
    <t>INV0005632</t>
  </si>
  <si>
    <t>INV0005633</t>
  </si>
  <si>
    <t>INV0005634</t>
  </si>
  <si>
    <t>INV0005635</t>
  </si>
  <si>
    <t>INV0005636</t>
  </si>
  <si>
    <t>INV0005586</t>
  </si>
  <si>
    <t>INV0005587</t>
  </si>
  <si>
    <t>INV0005588</t>
  </si>
  <si>
    <t>INV0005589</t>
  </si>
  <si>
    <t>INV0005590</t>
  </si>
  <si>
    <t>INV0005592</t>
  </si>
  <si>
    <t>INV0005591</t>
  </si>
  <si>
    <t>INV0005594</t>
  </si>
  <si>
    <t>INV0005593</t>
  </si>
  <si>
    <t>C221BBM</t>
  </si>
  <si>
    <t>Mosuoe Ntja</t>
  </si>
  <si>
    <t>Wentworth to Thabazimbi</t>
  </si>
  <si>
    <t>INV0005595</t>
  </si>
  <si>
    <t>27472</t>
  </si>
  <si>
    <t xml:space="preserve">Wentworth to Rustenburg </t>
  </si>
  <si>
    <t>26633</t>
  </si>
  <si>
    <t>3686</t>
  </si>
  <si>
    <t>1845</t>
  </si>
  <si>
    <t>INV0005596</t>
  </si>
  <si>
    <t>INV0005597</t>
  </si>
  <si>
    <t>INV0005598</t>
  </si>
  <si>
    <t>Seabata Lits'eo</t>
  </si>
  <si>
    <t>3826</t>
  </si>
  <si>
    <t>3687</t>
  </si>
  <si>
    <t>1726</t>
  </si>
  <si>
    <t>3912</t>
  </si>
  <si>
    <t>2089</t>
  </si>
  <si>
    <t>1846</t>
  </si>
  <si>
    <t>3688</t>
  </si>
  <si>
    <t>1727</t>
  </si>
  <si>
    <t>1953</t>
  </si>
  <si>
    <t>3827</t>
  </si>
  <si>
    <t>Vopak to Rustenburg</t>
  </si>
  <si>
    <t>2090</t>
  </si>
  <si>
    <t>3744</t>
  </si>
  <si>
    <t>1847</t>
  </si>
  <si>
    <t>4082</t>
  </si>
  <si>
    <t>3828</t>
  </si>
  <si>
    <t>3689</t>
  </si>
  <si>
    <t>1954</t>
  </si>
  <si>
    <t>1728</t>
  </si>
  <si>
    <t>3913</t>
  </si>
  <si>
    <t>4083</t>
  </si>
  <si>
    <t>3745</t>
  </si>
  <si>
    <t>2091</t>
  </si>
  <si>
    <t>1848</t>
  </si>
  <si>
    <t>1955</t>
  </si>
  <si>
    <t>3829</t>
  </si>
  <si>
    <t>3690</t>
  </si>
  <si>
    <t>3746</t>
  </si>
  <si>
    <t>3914</t>
  </si>
  <si>
    <t>2092</t>
  </si>
  <si>
    <t>1849</t>
  </si>
  <si>
    <t>1956</t>
  </si>
  <si>
    <t>4084</t>
  </si>
  <si>
    <t>3691</t>
  </si>
  <si>
    <t>3830</t>
  </si>
  <si>
    <t>3747</t>
  </si>
  <si>
    <t>1729</t>
  </si>
  <si>
    <t>1850</t>
  </si>
  <si>
    <t>4085</t>
  </si>
  <si>
    <t>2093</t>
  </si>
  <si>
    <t>3748</t>
  </si>
  <si>
    <t>3692</t>
  </si>
  <si>
    <t>1957</t>
  </si>
  <si>
    <t>Wentworth to Verkerdelvei</t>
  </si>
  <si>
    <t>1851</t>
  </si>
  <si>
    <t>3831</t>
  </si>
  <si>
    <t>1730</t>
  </si>
  <si>
    <t>4086</t>
  </si>
  <si>
    <t>2094</t>
  </si>
  <si>
    <t>3915</t>
  </si>
  <si>
    <t>3693</t>
  </si>
  <si>
    <t>3749</t>
  </si>
  <si>
    <t>1952</t>
  </si>
  <si>
    <t>2084,2085,2086,2087,2088</t>
  </si>
  <si>
    <t>3911</t>
  </si>
  <si>
    <t>1725</t>
  </si>
  <si>
    <t>MYS10353</t>
  </si>
  <si>
    <t>MYS10354</t>
  </si>
  <si>
    <t>MYS10373</t>
  </si>
  <si>
    <t>MYS10374</t>
  </si>
  <si>
    <t>MYS10375</t>
  </si>
  <si>
    <t>MYS10376</t>
  </si>
  <si>
    <t>MYS10377</t>
  </si>
  <si>
    <t>MYS10378</t>
  </si>
  <si>
    <t>MYS10379</t>
  </si>
  <si>
    <t>MYS10380</t>
  </si>
  <si>
    <t>MYS10318</t>
  </si>
  <si>
    <t>MYS10319</t>
  </si>
  <si>
    <t>MYS10320</t>
  </si>
  <si>
    <t>MYS10321</t>
  </si>
  <si>
    <t>MYS10322</t>
  </si>
  <si>
    <t>MYS10323</t>
  </si>
  <si>
    <t>MYS10501</t>
  </si>
  <si>
    <t>MYS10502</t>
  </si>
  <si>
    <t>MYS10503</t>
  </si>
  <si>
    <t>MYS10504</t>
  </si>
  <si>
    <t>MYS10505</t>
  </si>
  <si>
    <t>MYS10506</t>
  </si>
  <si>
    <t>MYS10606</t>
  </si>
  <si>
    <t>MYS10607</t>
  </si>
  <si>
    <t>MYS10608</t>
  </si>
  <si>
    <t>MYS10611</t>
  </si>
  <si>
    <t>MYS10610</t>
  </si>
  <si>
    <t>MYS10612</t>
  </si>
  <si>
    <t>MYS10613</t>
  </si>
  <si>
    <t>MYS10609</t>
  </si>
  <si>
    <t>MYS10614</t>
  </si>
  <si>
    <t>MYS10615</t>
  </si>
  <si>
    <t>MYS10616</t>
  </si>
  <si>
    <t>MYS10622</t>
  </si>
  <si>
    <t>MYS10623</t>
  </si>
  <si>
    <t>MYS10624</t>
  </si>
  <si>
    <t>MYS10625</t>
  </si>
  <si>
    <t>MYS10626</t>
  </si>
  <si>
    <t>MYS10627</t>
  </si>
  <si>
    <t>MYS10628</t>
  </si>
  <si>
    <t>MYS10629</t>
  </si>
  <si>
    <t>MYS10693</t>
  </si>
  <si>
    <t>MYS10514</t>
  </si>
  <si>
    <t>Vopak to Nelspruit</t>
  </si>
  <si>
    <t>Vopak to Hamilton</t>
  </si>
  <si>
    <t>1958</t>
  </si>
  <si>
    <t>1852</t>
  </si>
  <si>
    <t>3694</t>
  </si>
  <si>
    <t>1731</t>
  </si>
  <si>
    <t>2095</t>
  </si>
  <si>
    <t>3750</t>
  </si>
  <si>
    <t>4087</t>
  </si>
  <si>
    <t>429420675/429421250</t>
  </si>
  <si>
    <t>3916</t>
  </si>
  <si>
    <t>1732</t>
  </si>
  <si>
    <t>3751</t>
  </si>
  <si>
    <t>4088</t>
  </si>
  <si>
    <t>1959</t>
  </si>
  <si>
    <t>1853</t>
  </si>
  <si>
    <t>JHC375FS</t>
  </si>
  <si>
    <t>3695</t>
  </si>
  <si>
    <t>3832</t>
  </si>
  <si>
    <t>2096</t>
  </si>
  <si>
    <t>4089</t>
  </si>
  <si>
    <t>1960</t>
  </si>
  <si>
    <t>1733</t>
  </si>
  <si>
    <t>3752</t>
  </si>
  <si>
    <t>3833</t>
  </si>
  <si>
    <t>3917</t>
  </si>
  <si>
    <t>2801</t>
  </si>
  <si>
    <t>1854</t>
  </si>
  <si>
    <t>3696</t>
  </si>
  <si>
    <t>4090</t>
  </si>
  <si>
    <t>2097</t>
  </si>
  <si>
    <t>3753</t>
  </si>
  <si>
    <t>1734</t>
  </si>
  <si>
    <t>Vopak to Pretoria</t>
  </si>
  <si>
    <t>3697</t>
  </si>
  <si>
    <t>4092</t>
  </si>
  <si>
    <t>2802</t>
  </si>
  <si>
    <t>3754</t>
  </si>
  <si>
    <t>1855</t>
  </si>
  <si>
    <t>3918</t>
  </si>
  <si>
    <t>3834</t>
  </si>
  <si>
    <t>2098</t>
  </si>
  <si>
    <t>INV0005643</t>
  </si>
  <si>
    <t>INV0005644</t>
  </si>
  <si>
    <t>INV0005645</t>
  </si>
  <si>
    <t>INV0005646</t>
  </si>
  <si>
    <t>INV0005647</t>
  </si>
  <si>
    <t>INV0005648</t>
  </si>
  <si>
    <t>INV0005649</t>
  </si>
  <si>
    <t>INV0005650</t>
  </si>
  <si>
    <t>INV0005695</t>
  </si>
  <si>
    <t>INV0005651</t>
  </si>
  <si>
    <t>INV0005657</t>
  </si>
  <si>
    <t>INV0005659</t>
  </si>
  <si>
    <t>INV0005658</t>
  </si>
  <si>
    <t>INV0005654</t>
  </si>
  <si>
    <t>INV0005656</t>
  </si>
  <si>
    <t>INV0005653</t>
  </si>
  <si>
    <t>INV0005652</t>
  </si>
  <si>
    <t>INV0005683</t>
  </si>
  <si>
    <t>INV0005655</t>
  </si>
  <si>
    <t>INV0005660</t>
  </si>
  <si>
    <t>INV0005661</t>
  </si>
  <si>
    <t>INV0005662</t>
  </si>
  <si>
    <t>INV0005663</t>
  </si>
  <si>
    <t>INV0005664</t>
  </si>
  <si>
    <t>INV0005665</t>
  </si>
  <si>
    <t>INV0005666</t>
  </si>
  <si>
    <t>INV0005667</t>
  </si>
  <si>
    <t>INV0005668</t>
  </si>
  <si>
    <t>INV0005669</t>
  </si>
  <si>
    <t>INV0005670</t>
  </si>
  <si>
    <t>INV0005671</t>
  </si>
  <si>
    <t>INV0005672</t>
  </si>
  <si>
    <t>INV0005673</t>
  </si>
  <si>
    <t>INV0005674</t>
  </si>
  <si>
    <t>INV0005675</t>
  </si>
  <si>
    <t>INV0005676</t>
  </si>
  <si>
    <t>INV0005677</t>
  </si>
  <si>
    <t>INV0005678</t>
  </si>
  <si>
    <t>INV0005679</t>
  </si>
  <si>
    <t>INV0005680</t>
  </si>
  <si>
    <t>INV0005681</t>
  </si>
  <si>
    <t>INV0005682</t>
  </si>
  <si>
    <t>INV0005684</t>
  </si>
  <si>
    <t>INV0005685</t>
  </si>
  <si>
    <t>INV0005686</t>
  </si>
  <si>
    <t>INV0005687</t>
  </si>
  <si>
    <t>INV0005688</t>
  </si>
  <si>
    <t>INV0005689</t>
  </si>
  <si>
    <t>INV0005690</t>
  </si>
  <si>
    <t>INV0005691</t>
  </si>
  <si>
    <t>INV0005696</t>
  </si>
  <si>
    <t>INV0005697</t>
  </si>
  <si>
    <t>INV0005692</t>
  </si>
  <si>
    <t>INV0005699</t>
  </si>
  <si>
    <t>INV0005698</t>
  </si>
  <si>
    <t>INV0005693</t>
  </si>
  <si>
    <t>INV0005694</t>
  </si>
  <si>
    <t>INV0005700</t>
  </si>
  <si>
    <t>INV0005701</t>
  </si>
  <si>
    <t>INV0005702</t>
  </si>
  <si>
    <t>INV0005703</t>
  </si>
  <si>
    <t>INV0005704</t>
  </si>
  <si>
    <t>INV0005705</t>
  </si>
  <si>
    <t>INV0005706</t>
  </si>
  <si>
    <t>INV0005707</t>
  </si>
  <si>
    <t>INV0005708</t>
  </si>
  <si>
    <t>INV0005709</t>
  </si>
  <si>
    <t>INV0005710</t>
  </si>
  <si>
    <t>INV0005711</t>
  </si>
  <si>
    <t>INV0005712</t>
  </si>
  <si>
    <t>INV0005713</t>
  </si>
  <si>
    <t>INV0005714</t>
  </si>
  <si>
    <t>INV0005716</t>
  </si>
  <si>
    <t>INV0005717</t>
  </si>
  <si>
    <t>INV0005715</t>
  </si>
  <si>
    <t>INV0005719</t>
  </si>
  <si>
    <t>INV0005718</t>
  </si>
  <si>
    <t>INV0005720</t>
  </si>
  <si>
    <t>INV0005721</t>
  </si>
  <si>
    <t>INV0005722</t>
  </si>
  <si>
    <t>INV0005723</t>
  </si>
  <si>
    <t>INV0005724</t>
  </si>
  <si>
    <t>INV0005725</t>
  </si>
  <si>
    <t>5581150/356</t>
  </si>
  <si>
    <t>5579169/120</t>
  </si>
  <si>
    <t>5583395/21</t>
  </si>
  <si>
    <t>Retselisitsoe Lekhooa</t>
  </si>
  <si>
    <t>5586349/120</t>
  </si>
  <si>
    <t>Pitso Motsopa</t>
  </si>
  <si>
    <t xml:space="preserve">Veekedelvei to Senekal </t>
  </si>
  <si>
    <t>5616488/0069</t>
  </si>
  <si>
    <t>INV0005727</t>
  </si>
  <si>
    <t>INV0005728</t>
  </si>
  <si>
    <t>INV0005729</t>
  </si>
  <si>
    <t>INV0005730</t>
  </si>
  <si>
    <t>INV0005731</t>
  </si>
  <si>
    <t>MYS10650</t>
  </si>
  <si>
    <t>MYS10649</t>
  </si>
  <si>
    <t>MYS10648</t>
  </si>
  <si>
    <t>MYS10647</t>
  </si>
  <si>
    <t>MYS10646</t>
  </si>
  <si>
    <t>MYS10645</t>
  </si>
  <si>
    <t>MYS10636</t>
  </si>
  <si>
    <t>MYS10644</t>
  </si>
  <si>
    <t>MYS10643</t>
  </si>
  <si>
    <t>MYS10943</t>
  </si>
  <si>
    <t>MYS10642</t>
  </si>
  <si>
    <t>MYS10639</t>
  </si>
  <si>
    <t>MYS10637</t>
  </si>
  <si>
    <t>MYS10635</t>
  </si>
  <si>
    <t>MYS10633</t>
  </si>
  <si>
    <t>MYS10640</t>
  </si>
  <si>
    <t>MYS10638</t>
  </si>
  <si>
    <t>MYS10634</t>
  </si>
  <si>
    <t>MYS10632</t>
  </si>
  <si>
    <t>MYS10641</t>
  </si>
  <si>
    <t>MYS10630</t>
  </si>
  <si>
    <t>MYS10631</t>
  </si>
  <si>
    <t>MYS10779</t>
  </si>
  <si>
    <t>MYS10776</t>
  </si>
  <si>
    <t>MYS10775</t>
  </si>
  <si>
    <t>MYS10774</t>
  </si>
  <si>
    <t>MYS10773</t>
  </si>
  <si>
    <t>MYS10772</t>
  </si>
  <si>
    <t>MYS10771</t>
  </si>
  <si>
    <t>MYS10765</t>
  </si>
  <si>
    <t>MYS10967</t>
  </si>
  <si>
    <t>MYS10965</t>
  </si>
  <si>
    <t>MYS10966</t>
  </si>
  <si>
    <t>MYS10962</t>
  </si>
  <si>
    <t>MYS10964</t>
  </si>
  <si>
    <t>MYS10963</t>
  </si>
  <si>
    <t>MYS10961</t>
  </si>
  <si>
    <t>MYS10960</t>
  </si>
  <si>
    <t>MYS10958</t>
  </si>
  <si>
    <t>MYS10957</t>
  </si>
  <si>
    <t>MYS10956</t>
  </si>
  <si>
    <t>MYS10955</t>
  </si>
  <si>
    <t>MYS10954</t>
  </si>
  <si>
    <t>MYS10953</t>
  </si>
  <si>
    <t>MYS10952</t>
  </si>
  <si>
    <t>MYS10951</t>
  </si>
  <si>
    <t>MYS10950</t>
  </si>
  <si>
    <t>MYS10949</t>
  </si>
  <si>
    <t>MYS10948</t>
  </si>
  <si>
    <t>MYS10947</t>
  </si>
  <si>
    <t>MYS10946</t>
  </si>
  <si>
    <t>MYS10945</t>
  </si>
  <si>
    <t>MYS10942</t>
  </si>
  <si>
    <t>MYS10941</t>
  </si>
  <si>
    <t>MYS10940</t>
  </si>
  <si>
    <t>MYS10959</t>
  </si>
  <si>
    <t>MYS10991</t>
  </si>
  <si>
    <t>MYS10990</t>
  </si>
  <si>
    <t>MYS10989</t>
  </si>
  <si>
    <t>MYS10988</t>
  </si>
  <si>
    <t>MYS10987</t>
  </si>
  <si>
    <t>MYS10986</t>
  </si>
  <si>
    <t>MYS10984</t>
  </si>
  <si>
    <t>MYS10983</t>
  </si>
  <si>
    <t>MYS10982</t>
  </si>
  <si>
    <t>MYS10980</t>
  </si>
  <si>
    <t>MYS10981</t>
  </si>
  <si>
    <t>MYS11053</t>
  </si>
  <si>
    <t>MYS11054</t>
  </si>
  <si>
    <t>MYS11057</t>
  </si>
  <si>
    <t>MYS11058</t>
  </si>
  <si>
    <t>MYS11052</t>
  </si>
  <si>
    <t>MYS11056</t>
  </si>
  <si>
    <t>MYS10767</t>
  </si>
  <si>
    <t>MYS10766</t>
  </si>
  <si>
    <t>MYS10768</t>
  </si>
  <si>
    <t>MYS10769</t>
  </si>
  <si>
    <t>MYS10770</t>
  </si>
  <si>
    <t>MYS11051</t>
  </si>
  <si>
    <t>MYS11050</t>
  </si>
  <si>
    <t>MYS11049</t>
  </si>
  <si>
    <t>MYS11048</t>
  </si>
  <si>
    <t>MYS11047</t>
  </si>
  <si>
    <t>MYS11046</t>
  </si>
  <si>
    <t>MYS11045</t>
  </si>
  <si>
    <t>MYS11044</t>
  </si>
  <si>
    <t>MYS11043</t>
  </si>
  <si>
    <t>MYS11042</t>
  </si>
  <si>
    <t>INV0005732</t>
  </si>
  <si>
    <t>26506</t>
  </si>
  <si>
    <t>MYS11041</t>
  </si>
  <si>
    <t>MYS11055</t>
  </si>
  <si>
    <t>MYS11100</t>
  </si>
  <si>
    <t>1737</t>
  </si>
  <si>
    <t>3838</t>
  </si>
  <si>
    <t>4096</t>
  </si>
  <si>
    <t>3758</t>
  </si>
  <si>
    <t>2805</t>
  </si>
  <si>
    <t>1859</t>
  </si>
  <si>
    <t>3756</t>
  </si>
  <si>
    <t>1858</t>
  </si>
  <si>
    <t>3837</t>
  </si>
  <si>
    <t>2804</t>
  </si>
  <si>
    <t>1736</t>
  </si>
  <si>
    <t>3699</t>
  </si>
  <si>
    <t>4094</t>
  </si>
  <si>
    <t>3920</t>
  </si>
  <si>
    <t>3757</t>
  </si>
  <si>
    <t>2701</t>
  </si>
  <si>
    <t>1962</t>
  </si>
  <si>
    <t>1856</t>
  </si>
  <si>
    <t>3755</t>
  </si>
  <si>
    <t>1857</t>
  </si>
  <si>
    <t>3836</t>
  </si>
  <si>
    <t>2803</t>
  </si>
  <si>
    <t>1735</t>
  </si>
  <si>
    <t>3698</t>
  </si>
  <si>
    <t>3919</t>
  </si>
  <si>
    <t>Vopak to Thabazimbi</t>
  </si>
  <si>
    <t>30900721293-95</t>
  </si>
  <si>
    <t>2099</t>
  </si>
  <si>
    <t>3835</t>
  </si>
  <si>
    <t>4093</t>
  </si>
  <si>
    <t>1961</t>
  </si>
  <si>
    <t>2100</t>
  </si>
  <si>
    <t>2202</t>
  </si>
  <si>
    <t>1966</t>
  </si>
  <si>
    <t>2203</t>
  </si>
  <si>
    <t>Wemtworth to Hamilton</t>
  </si>
  <si>
    <t>1862</t>
  </si>
  <si>
    <t>4100</t>
  </si>
  <si>
    <t>2807</t>
  </si>
  <si>
    <t>1741</t>
  </si>
  <si>
    <t>2705</t>
  </si>
  <si>
    <t>4099</t>
  </si>
  <si>
    <t>4098</t>
  </si>
  <si>
    <t>1861</t>
  </si>
  <si>
    <t>3759</t>
  </si>
  <si>
    <t>3921</t>
  </si>
  <si>
    <t>2703</t>
  </si>
  <si>
    <t>3840</t>
  </si>
  <si>
    <t>1965</t>
  </si>
  <si>
    <t>2806</t>
  </si>
  <si>
    <t>1739</t>
  </si>
  <si>
    <t>4095</t>
  </si>
  <si>
    <t>2201</t>
  </si>
  <si>
    <t>1964</t>
  </si>
  <si>
    <t>3839</t>
  </si>
  <si>
    <t>4097</t>
  </si>
  <si>
    <t>1738</t>
  </si>
  <si>
    <t>1860</t>
  </si>
  <si>
    <t>1963</t>
  </si>
  <si>
    <t>2702</t>
  </si>
  <si>
    <t>3700</t>
  </si>
  <si>
    <t>Wentworth tp Klerksdorp</t>
  </si>
  <si>
    <t>3842</t>
  </si>
  <si>
    <t>3923</t>
  </si>
  <si>
    <t>2204</t>
  </si>
  <si>
    <t>2207</t>
  </si>
  <si>
    <t>2206</t>
  </si>
  <si>
    <t>1967</t>
  </si>
  <si>
    <t>1863</t>
  </si>
  <si>
    <t>2808</t>
  </si>
  <si>
    <t>1742</t>
  </si>
  <si>
    <t>2706</t>
  </si>
  <si>
    <t>3843</t>
  </si>
  <si>
    <t>3761</t>
  </si>
  <si>
    <t>3924</t>
  </si>
  <si>
    <t>2205</t>
  </si>
  <si>
    <t>1864</t>
  </si>
  <si>
    <t>2602</t>
  </si>
  <si>
    <t>2809</t>
  </si>
  <si>
    <t>2707</t>
  </si>
  <si>
    <t>1743</t>
  </si>
  <si>
    <t>3844</t>
  </si>
  <si>
    <t>3925</t>
  </si>
  <si>
    <t>1969</t>
  </si>
  <si>
    <t>3762</t>
  </si>
  <si>
    <t>2603</t>
  </si>
  <si>
    <t>3845</t>
  </si>
  <si>
    <t>3926</t>
  </si>
  <si>
    <t>1970</t>
  </si>
  <si>
    <t>2810</t>
  </si>
  <si>
    <t>2708</t>
  </si>
  <si>
    <t>3763</t>
  </si>
  <si>
    <t>1744</t>
  </si>
  <si>
    <t>1866</t>
  </si>
  <si>
    <t>1971</t>
  </si>
  <si>
    <t>3846</t>
  </si>
  <si>
    <t>3927</t>
  </si>
  <si>
    <t>2811</t>
  </si>
  <si>
    <t>2208</t>
  </si>
  <si>
    <t>3764</t>
  </si>
  <si>
    <t>2604</t>
  </si>
  <si>
    <t>3841</t>
  </si>
  <si>
    <t>1740</t>
  </si>
  <si>
    <t>3922</t>
  </si>
  <si>
    <t>INV0005733</t>
  </si>
  <si>
    <t>INV0005734</t>
  </si>
  <si>
    <t>INV0005735</t>
  </si>
  <si>
    <t>INV0005736</t>
  </si>
  <si>
    <t>INV0005737</t>
  </si>
  <si>
    <t>INV0005738</t>
  </si>
  <si>
    <t>INV0005739</t>
  </si>
  <si>
    <t>INV0005740</t>
  </si>
  <si>
    <t>INV0005741</t>
  </si>
  <si>
    <t>INV0005742</t>
  </si>
  <si>
    <t>INV0005743</t>
  </si>
  <si>
    <t>INV0005744</t>
  </si>
  <si>
    <t>INV0005745</t>
  </si>
  <si>
    <t>INV0005746</t>
  </si>
  <si>
    <t>INV0005747</t>
  </si>
  <si>
    <t>INV0005748</t>
  </si>
  <si>
    <t>INV0005749</t>
  </si>
  <si>
    <t>INV0005750</t>
  </si>
  <si>
    <t>INV0005751</t>
  </si>
  <si>
    <t>INV0005752</t>
  </si>
  <si>
    <t>INV0005753</t>
  </si>
  <si>
    <t>INV0005754</t>
  </si>
  <si>
    <t>INV0005755</t>
  </si>
  <si>
    <t>INV0005756</t>
  </si>
  <si>
    <t>INV0005757</t>
  </si>
  <si>
    <t>INV0005758</t>
  </si>
  <si>
    <t>INV0005759</t>
  </si>
  <si>
    <t>INV0005760</t>
  </si>
  <si>
    <t>INV0005761</t>
  </si>
  <si>
    <t>INV0005762</t>
  </si>
  <si>
    <t>INV0005763</t>
  </si>
  <si>
    <t>INV0005764</t>
  </si>
  <si>
    <t>INV0005765</t>
  </si>
  <si>
    <t>INV0005766</t>
  </si>
  <si>
    <t>INV0005767</t>
  </si>
  <si>
    <t>INV0005768</t>
  </si>
  <si>
    <t>INV0005769</t>
  </si>
  <si>
    <t>INV0005770</t>
  </si>
  <si>
    <t>INV0005771</t>
  </si>
  <si>
    <t>INV0005772</t>
  </si>
  <si>
    <t>INV0005773</t>
  </si>
  <si>
    <t>INV0005774</t>
  </si>
  <si>
    <t>INV0005775</t>
  </si>
  <si>
    <t>INV0005776</t>
  </si>
  <si>
    <t>INV0005777</t>
  </si>
  <si>
    <t>INV0005778</t>
  </si>
  <si>
    <t>INV0005779</t>
  </si>
  <si>
    <t>INV0005780</t>
  </si>
  <si>
    <t>INV0005781</t>
  </si>
  <si>
    <t>INV0005782</t>
  </si>
  <si>
    <t>INV0005783</t>
  </si>
  <si>
    <t>INV0005784</t>
  </si>
  <si>
    <t>INV0005785</t>
  </si>
  <si>
    <t>INV0005786</t>
  </si>
  <si>
    <t>INV0005787</t>
  </si>
  <si>
    <t>INV0005788</t>
  </si>
  <si>
    <t>INV0005789</t>
  </si>
  <si>
    <t>INV0005790</t>
  </si>
  <si>
    <t>INV0005791</t>
  </si>
  <si>
    <t>430354747 </t>
  </si>
  <si>
    <t>INV0005792</t>
  </si>
  <si>
    <t>INV0005793</t>
  </si>
  <si>
    <t>INV0005794</t>
  </si>
  <si>
    <t>INV0005795</t>
  </si>
  <si>
    <t>INV0005796</t>
  </si>
  <si>
    <t>INV0005797</t>
  </si>
  <si>
    <t>INV0005798</t>
  </si>
  <si>
    <t>INV0005799</t>
  </si>
  <si>
    <t>INV0005800</t>
  </si>
  <si>
    <t>INV0005801</t>
  </si>
  <si>
    <t>INV0005802</t>
  </si>
  <si>
    <t>INV0005803</t>
  </si>
  <si>
    <t>1968</t>
  </si>
  <si>
    <t>INV0005804</t>
  </si>
  <si>
    <t>INV0005805</t>
  </si>
  <si>
    <t>INV0005806</t>
  </si>
  <si>
    <t>INV0005807</t>
  </si>
  <si>
    <t>INV0005808</t>
  </si>
  <si>
    <t>INV0005809</t>
  </si>
  <si>
    <t>INV0005810</t>
  </si>
  <si>
    <t>INV0005811</t>
  </si>
  <si>
    <t>INV0005812</t>
  </si>
  <si>
    <t>INV0005813</t>
  </si>
  <si>
    <t>INV0005814</t>
  </si>
  <si>
    <t>INV0005815</t>
  </si>
  <si>
    <t>INV0005816</t>
  </si>
  <si>
    <t>INV0005817</t>
  </si>
  <si>
    <t>INV0005818</t>
  </si>
  <si>
    <t>INV0005819</t>
  </si>
  <si>
    <t>INV0005820</t>
  </si>
  <si>
    <t>INV0005821</t>
  </si>
  <si>
    <t>INV0005822</t>
  </si>
  <si>
    <t>INV0005823</t>
  </si>
  <si>
    <t>INV0005824</t>
  </si>
  <si>
    <t>INV0005825</t>
  </si>
  <si>
    <t>INV0005826</t>
  </si>
  <si>
    <t>INV0005827</t>
  </si>
  <si>
    <t>INV0005828</t>
  </si>
  <si>
    <t>INV0005829</t>
  </si>
  <si>
    <t>INV0005830</t>
  </si>
  <si>
    <t>INV0005831</t>
  </si>
  <si>
    <t>INV0005832</t>
  </si>
  <si>
    <t>INV0005833</t>
  </si>
  <si>
    <t>C233BBW</t>
  </si>
  <si>
    <t>Matala Seboka</t>
  </si>
  <si>
    <t>Wentworth to Ficksburg OVK</t>
  </si>
  <si>
    <t xml:space="preserve">Kinela Setsomi </t>
  </si>
  <si>
    <t>Wentworth to Ventersburg Ovk</t>
  </si>
  <si>
    <t>26379/'26378/'26377</t>
  </si>
  <si>
    <t>27893/'27894/'27893/</t>
  </si>
  <si>
    <t>Malefane Makhetha</t>
  </si>
  <si>
    <t>Wentworth to Senekal OVK</t>
  </si>
  <si>
    <t>27784</t>
  </si>
  <si>
    <t>25713</t>
  </si>
  <si>
    <t>HSR127FS</t>
  </si>
  <si>
    <t>Morenakemang Tlebere</t>
  </si>
  <si>
    <t>25750</t>
  </si>
  <si>
    <t>HTD134FS</t>
  </si>
  <si>
    <t>Ntja Mosuoe</t>
  </si>
  <si>
    <t>27780</t>
  </si>
  <si>
    <t>HPD564FS</t>
  </si>
  <si>
    <t>27781</t>
  </si>
  <si>
    <t>HSD379FS</t>
  </si>
  <si>
    <t xml:space="preserve">Thebe Rakoti </t>
  </si>
  <si>
    <t>28530/28529</t>
  </si>
  <si>
    <t>C235BBW</t>
  </si>
  <si>
    <t>Seja Makoko</t>
  </si>
  <si>
    <t>26600/'26599</t>
  </si>
  <si>
    <t>26440</t>
  </si>
  <si>
    <t>Thabo Motemekoane</t>
  </si>
  <si>
    <t>27960</t>
  </si>
  <si>
    <t>27961</t>
  </si>
  <si>
    <t>Moneuoa Koeshe</t>
  </si>
  <si>
    <t>27497</t>
  </si>
  <si>
    <t>Wentworth to Tweespruit OVK</t>
  </si>
  <si>
    <t>Wentworth to Ladybrand OVK</t>
  </si>
  <si>
    <t>27794</t>
  </si>
  <si>
    <t>26956</t>
  </si>
  <si>
    <t>HTW038FS</t>
  </si>
  <si>
    <t>Mathe Letima</t>
  </si>
  <si>
    <t>26959</t>
  </si>
  <si>
    <t>26958</t>
  </si>
  <si>
    <t>26964</t>
  </si>
  <si>
    <t>5606533/101</t>
  </si>
  <si>
    <t>5605808/122</t>
  </si>
  <si>
    <t>5605781/104</t>
  </si>
  <si>
    <t>5605786/104</t>
  </si>
  <si>
    <t>5608882/104</t>
  </si>
  <si>
    <t>5608880/104</t>
  </si>
  <si>
    <t>5606520/120</t>
  </si>
  <si>
    <t>5611162/349</t>
  </si>
  <si>
    <t>5611163/104</t>
  </si>
  <si>
    <t>5613663/104</t>
  </si>
  <si>
    <t>5613671/104</t>
  </si>
  <si>
    <t>5615308/104</t>
  </si>
  <si>
    <t>5620542/104</t>
  </si>
  <si>
    <t>5622983/104</t>
  </si>
  <si>
    <t>5623177/104</t>
  </si>
  <si>
    <t>5622011/104</t>
  </si>
  <si>
    <t>5627600/104</t>
  </si>
  <si>
    <t xml:space="preserve">Tumisang Setho </t>
  </si>
  <si>
    <t>Wentworth to Fouriesburg OVK</t>
  </si>
  <si>
    <t>5611164/104</t>
  </si>
  <si>
    <t>430055697/430055717</t>
  </si>
  <si>
    <t>26448</t>
  </si>
  <si>
    <t>5608738/107/5608728/102</t>
  </si>
  <si>
    <t>27782/'27783</t>
  </si>
  <si>
    <t>5615307/104</t>
  </si>
  <si>
    <t>INV0005836</t>
  </si>
  <si>
    <t>INV0005837</t>
  </si>
  <si>
    <t>INV0005838</t>
  </si>
  <si>
    <t>INV0005839</t>
  </si>
  <si>
    <t>5605787/104</t>
  </si>
  <si>
    <t>INV0005840</t>
  </si>
  <si>
    <t>INV0005841</t>
  </si>
  <si>
    <t>INV0005842</t>
  </si>
  <si>
    <t>INV0005843</t>
  </si>
  <si>
    <t>INV0005844</t>
  </si>
  <si>
    <t>INV0005845</t>
  </si>
  <si>
    <t>INV0005846</t>
  </si>
  <si>
    <t>INV0005847</t>
  </si>
  <si>
    <t>INV0005848</t>
  </si>
  <si>
    <t>INV0005849</t>
  </si>
  <si>
    <t>INV0005850</t>
  </si>
  <si>
    <t>INV0005852</t>
  </si>
  <si>
    <t>INV0005853</t>
  </si>
  <si>
    <t>INV0005854</t>
  </si>
  <si>
    <t>INV0005855</t>
  </si>
  <si>
    <t>INV0005856</t>
  </si>
  <si>
    <t>3760</t>
  </si>
  <si>
    <t>2704</t>
  </si>
  <si>
    <t>2601</t>
  </si>
  <si>
    <t>INV0005858</t>
  </si>
  <si>
    <t>INV0005857</t>
  </si>
  <si>
    <t>MYS11278</t>
  </si>
  <si>
    <t>MYS11280</t>
  </si>
  <si>
    <t>MYS11281</t>
  </si>
  <si>
    <t>MYS11279</t>
  </si>
  <si>
    <t>MYS11282</t>
  </si>
  <si>
    <t>MYS11283</t>
  </si>
  <si>
    <t>MYS11284</t>
  </si>
  <si>
    <t>MYS11174</t>
  </si>
  <si>
    <t>MYS11285</t>
  </si>
  <si>
    <t>MYS11286</t>
  </si>
  <si>
    <t>MYS11309</t>
  </si>
  <si>
    <t>MYS11308</t>
  </si>
  <si>
    <t>MYS11310</t>
  </si>
  <si>
    <t>MYS11073</t>
  </si>
  <si>
    <t>MYS11074</t>
  </si>
  <si>
    <t>MYS11075</t>
  </si>
  <si>
    <t>MYS11076</t>
  </si>
  <si>
    <t>MYS11077</t>
  </si>
  <si>
    <t>MYS11078</t>
  </si>
  <si>
    <t>MYS11079</t>
  </si>
  <si>
    <t>MYS11080</t>
  </si>
  <si>
    <t>MYS11081</t>
  </si>
  <si>
    <t>MYS11082</t>
  </si>
  <si>
    <t>MYS11083</t>
  </si>
  <si>
    <t>MYS11084</t>
  </si>
  <si>
    <t>MYS11085</t>
  </si>
  <si>
    <t>MYS11086</t>
  </si>
  <si>
    <t>MYS11087</t>
  </si>
  <si>
    <t>MYS11088</t>
  </si>
  <si>
    <t>MYS11089</t>
  </si>
  <si>
    <t>MYS11090</t>
  </si>
  <si>
    <t>MYS11091</t>
  </si>
  <si>
    <t>MYS11092</t>
  </si>
  <si>
    <t>MYS11093</t>
  </si>
  <si>
    <t>MYS11112</t>
  </si>
  <si>
    <t>MYS11168</t>
  </si>
  <si>
    <t>MYS11169</t>
  </si>
  <si>
    <t>MYS11170</t>
  </si>
  <si>
    <t>MYS11171</t>
  </si>
  <si>
    <t>MYS11173</t>
  </si>
  <si>
    <t>MYS11175</t>
  </si>
  <si>
    <t>MYS11172</t>
  </si>
  <si>
    <t>MYS11177</t>
  </si>
  <si>
    <t>MYS11178</t>
  </si>
  <si>
    <t>MYS11176</t>
  </si>
  <si>
    <t>MYS11179</t>
  </si>
  <si>
    <t>MYS11180</t>
  </si>
  <si>
    <t>MYS11181</t>
  </si>
  <si>
    <t>MYS11182</t>
  </si>
  <si>
    <t>MYS11184</t>
  </si>
  <si>
    <t>MYS11274</t>
  </si>
  <si>
    <t>MYS11183</t>
  </si>
  <si>
    <t>MYS11185</t>
  </si>
  <si>
    <t>MYS11187</t>
  </si>
  <si>
    <t>MYS11189</t>
  </si>
  <si>
    <t>MYS11190</t>
  </si>
  <si>
    <t>MYS11188</t>
  </si>
  <si>
    <t>MYS11191</t>
  </si>
  <si>
    <t>MYS11202</t>
  </si>
  <si>
    <t>MYS11249</t>
  </si>
  <si>
    <t>MYS11203</t>
  </si>
  <si>
    <t>MYS11250</t>
  </si>
  <si>
    <t>MYS11251</t>
  </si>
  <si>
    <t>MYS11252</t>
  </si>
  <si>
    <t>MYS11253</t>
  </si>
  <si>
    <t>MYS11254</t>
  </si>
  <si>
    <t>MYS11255</t>
  </si>
  <si>
    <t>MYS11256</t>
  </si>
  <si>
    <t>MYS11257</t>
  </si>
  <si>
    <t>MYS11258</t>
  </si>
  <si>
    <t>MYS11259</t>
  </si>
  <si>
    <t>MYS11260</t>
  </si>
  <si>
    <t>MYS11261</t>
  </si>
  <si>
    <t>MYS11262</t>
  </si>
  <si>
    <t>MYS11264</t>
  </si>
  <si>
    <t>MYS11269</t>
  </si>
  <si>
    <t>MYS11265</t>
  </si>
  <si>
    <t>MYS11268</t>
  </si>
  <si>
    <t>MYS11272</t>
  </si>
  <si>
    <t>MYS11263</t>
  </si>
  <si>
    <t>MYS11266</t>
  </si>
  <si>
    <t>MYS11270</t>
  </si>
  <si>
    <t>MYS11271</t>
  </si>
  <si>
    <t>MYS11275</t>
  </si>
  <si>
    <t>MYS11273</t>
  </si>
  <si>
    <t>MYS11276</t>
  </si>
  <si>
    <t>MYS11277</t>
  </si>
  <si>
    <t>MYS11371</t>
  </si>
  <si>
    <t>MYS11370</t>
  </si>
  <si>
    <t>MYS11369</t>
  </si>
  <si>
    <t>MYS11368</t>
  </si>
  <si>
    <t>MYS11367</t>
  </si>
  <si>
    <t>MYS11366</t>
  </si>
  <si>
    <t>MYS11365</t>
  </si>
  <si>
    <t>MYS11364</t>
  </si>
  <si>
    <t>MYS11362</t>
  </si>
  <si>
    <t>MYS11361</t>
  </si>
  <si>
    <t>MYS11355</t>
  </si>
  <si>
    <t>MYS11354</t>
  </si>
  <si>
    <t>MYS11353</t>
  </si>
  <si>
    <t>MYS11352</t>
  </si>
  <si>
    <t>MYS11345</t>
  </si>
  <si>
    <t>MYS11344</t>
  </si>
  <si>
    <t>MYS11343</t>
  </si>
  <si>
    <t>MYS11342</t>
  </si>
  <si>
    <t>MYS11341</t>
  </si>
  <si>
    <t>MYS11340</t>
  </si>
  <si>
    <t>MYS11339</t>
  </si>
  <si>
    <t>MYS11338</t>
  </si>
  <si>
    <t>MYS11337</t>
  </si>
  <si>
    <t>MYS11154</t>
  </si>
  <si>
    <t>MYS11142</t>
  </si>
  <si>
    <t>MYS11141</t>
  </si>
  <si>
    <t>MYS11140</t>
  </si>
  <si>
    <t>HXL962Fs</t>
  </si>
  <si>
    <t>2709</t>
  </si>
  <si>
    <t>3847</t>
  </si>
  <si>
    <t>3848</t>
  </si>
  <si>
    <t xml:space="preserve">Moeketsi Mokatana </t>
  </si>
  <si>
    <t>1745</t>
  </si>
  <si>
    <t>1972</t>
  </si>
  <si>
    <t>2209</t>
  </si>
  <si>
    <t>3928</t>
  </si>
  <si>
    <t>2812</t>
  </si>
  <si>
    <t>1867</t>
  </si>
  <si>
    <t>2710</t>
  </si>
  <si>
    <t>3765</t>
  </si>
  <si>
    <t>1746</t>
  </si>
  <si>
    <t>2605</t>
  </si>
  <si>
    <t>2210</t>
  </si>
  <si>
    <t>3929</t>
  </si>
  <si>
    <t>2813</t>
  </si>
  <si>
    <t>1868</t>
  </si>
  <si>
    <t>1974</t>
  </si>
  <si>
    <t>2211</t>
  </si>
  <si>
    <t>2711</t>
  </si>
  <si>
    <t>3766</t>
  </si>
  <si>
    <t>2606</t>
  </si>
  <si>
    <t>3849</t>
  </si>
  <si>
    <t>1747</t>
  </si>
  <si>
    <t>3930</t>
  </si>
  <si>
    <t>2814</t>
  </si>
  <si>
    <t>Wentworth to Senekal Ovk</t>
  </si>
  <si>
    <t>2212</t>
  </si>
  <si>
    <t>2607</t>
  </si>
  <si>
    <t>3767</t>
  </si>
  <si>
    <t>1748</t>
  </si>
  <si>
    <t>1975</t>
  </si>
  <si>
    <t>2712</t>
  </si>
  <si>
    <t>3931</t>
  </si>
  <si>
    <t>2815</t>
  </si>
  <si>
    <t>2213</t>
  </si>
  <si>
    <t>1869</t>
  </si>
  <si>
    <t>2608</t>
  </si>
  <si>
    <t>1749</t>
  </si>
  <si>
    <t>2713</t>
  </si>
  <si>
    <t>3932</t>
  </si>
  <si>
    <t>1976</t>
  </si>
  <si>
    <t>3850</t>
  </si>
  <si>
    <t>2816</t>
  </si>
  <si>
    <t>3768</t>
  </si>
  <si>
    <t>2214</t>
  </si>
  <si>
    <t>1750</t>
  </si>
  <si>
    <t>2714</t>
  </si>
  <si>
    <t>1870</t>
  </si>
  <si>
    <t>3933</t>
  </si>
  <si>
    <t>2215</t>
  </si>
  <si>
    <t>1977</t>
  </si>
  <si>
    <t>2609</t>
  </si>
  <si>
    <t>2817</t>
  </si>
  <si>
    <t>2715</t>
  </si>
  <si>
    <t>1871</t>
  </si>
  <si>
    <t>3851</t>
  </si>
  <si>
    <t>1751</t>
  </si>
  <si>
    <t>3769</t>
  </si>
  <si>
    <t>3934</t>
  </si>
  <si>
    <t>1978</t>
  </si>
  <si>
    <t>2216</t>
  </si>
  <si>
    <t>2818</t>
  </si>
  <si>
    <t>2610</t>
  </si>
  <si>
    <t>2716</t>
  </si>
  <si>
    <t>1872</t>
  </si>
  <si>
    <t>1752</t>
  </si>
  <si>
    <t>1979</t>
  </si>
  <si>
    <t>3935</t>
  </si>
  <si>
    <t>3852</t>
  </si>
  <si>
    <t>2217</t>
  </si>
  <si>
    <t>3770</t>
  </si>
  <si>
    <t>2819</t>
  </si>
  <si>
    <t>2717</t>
  </si>
  <si>
    <t>1873</t>
  </si>
  <si>
    <t>1753</t>
  </si>
  <si>
    <t>3771</t>
  </si>
  <si>
    <t>3936</t>
  </si>
  <si>
    <t>3853</t>
  </si>
  <si>
    <t>1980</t>
  </si>
  <si>
    <t>2218</t>
  </si>
  <si>
    <t>Wentworth to Excelsior</t>
  </si>
  <si>
    <t>2718</t>
  </si>
  <si>
    <t>2820</t>
  </si>
  <si>
    <t>1875</t>
  </si>
  <si>
    <t>1754</t>
  </si>
  <si>
    <t>3937</t>
  </si>
  <si>
    <t>2219</t>
  </si>
  <si>
    <t>1981</t>
  </si>
  <si>
    <t>3772</t>
  </si>
  <si>
    <t>3854</t>
  </si>
  <si>
    <t>2821</t>
  </si>
  <si>
    <t>1877</t>
  </si>
  <si>
    <t>3938</t>
  </si>
  <si>
    <t>1755</t>
  </si>
  <si>
    <t>2220</t>
  </si>
  <si>
    <t>3855</t>
  </si>
  <si>
    <t>1982</t>
  </si>
  <si>
    <t>2719</t>
  </si>
  <si>
    <t>3773</t>
  </si>
  <si>
    <t>1878</t>
  </si>
  <si>
    <t>3939</t>
  </si>
  <si>
    <t>2822</t>
  </si>
  <si>
    <t>INV0005859</t>
  </si>
  <si>
    <t>2221</t>
  </si>
  <si>
    <t>INV0005860</t>
  </si>
  <si>
    <t>INV0005861</t>
  </si>
  <si>
    <t>INV0005862</t>
  </si>
  <si>
    <t>INV0005863</t>
  </si>
  <si>
    <t>INV0005864</t>
  </si>
  <si>
    <t>INV0005865</t>
  </si>
  <si>
    <t>INV0005866</t>
  </si>
  <si>
    <t>INV0005867</t>
  </si>
  <si>
    <t>INV0005868</t>
  </si>
  <si>
    <t>INV0005869</t>
  </si>
  <si>
    <t>INV0005870</t>
  </si>
  <si>
    <t>INV0005871</t>
  </si>
  <si>
    <t>INV0005872</t>
  </si>
  <si>
    <t>INV0005873</t>
  </si>
  <si>
    <t>INV0005874</t>
  </si>
  <si>
    <t>INV0005875</t>
  </si>
  <si>
    <t>INV0005876</t>
  </si>
  <si>
    <t>INV0005877</t>
  </si>
  <si>
    <t>INV0005878</t>
  </si>
  <si>
    <t>INV0005879</t>
  </si>
  <si>
    <t>INV0005880</t>
  </si>
  <si>
    <t>INV0005881</t>
  </si>
  <si>
    <t>INV0005882</t>
  </si>
  <si>
    <t>INV0005883</t>
  </si>
  <si>
    <t>INV0005884</t>
  </si>
  <si>
    <t>INV0005885</t>
  </si>
  <si>
    <t>INV0005886</t>
  </si>
  <si>
    <t>1983</t>
  </si>
  <si>
    <t>3856</t>
  </si>
  <si>
    <t>INV0005887</t>
  </si>
  <si>
    <t>INV0005888</t>
  </si>
  <si>
    <t>INV0005889</t>
  </si>
  <si>
    <t>INV0005890</t>
  </si>
  <si>
    <t>INV0005891</t>
  </si>
  <si>
    <t>INV0005892</t>
  </si>
  <si>
    <t>INV0005893</t>
  </si>
  <si>
    <t>INV0005894</t>
  </si>
  <si>
    <t>INV0005895</t>
  </si>
  <si>
    <t>INV0005896</t>
  </si>
  <si>
    <t>INV0005897</t>
  </si>
  <si>
    <t>INV0005898</t>
  </si>
  <si>
    <t>INV0005899</t>
  </si>
  <si>
    <t>INV0005900</t>
  </si>
  <si>
    <t>INV0005901</t>
  </si>
  <si>
    <t>INV0005902</t>
  </si>
  <si>
    <t>INV0005903</t>
  </si>
  <si>
    <t>INV0005904</t>
  </si>
  <si>
    <t>INV0005905</t>
  </si>
  <si>
    <t>INV0005906</t>
  </si>
  <si>
    <t>INV0005907</t>
  </si>
  <si>
    <t>INV0005908</t>
  </si>
  <si>
    <t>INV0005909</t>
  </si>
  <si>
    <t>INV0005910</t>
  </si>
  <si>
    <t>INV0005911</t>
  </si>
  <si>
    <t>INV0005912</t>
  </si>
  <si>
    <t>INV0005913</t>
  </si>
  <si>
    <t>INV0005914</t>
  </si>
  <si>
    <t>INV0005915</t>
  </si>
  <si>
    <t>INV0005916</t>
  </si>
  <si>
    <t>INV0005917</t>
  </si>
  <si>
    <t>INV0005918</t>
  </si>
  <si>
    <t>INV0005919</t>
  </si>
  <si>
    <t>INV0005920</t>
  </si>
  <si>
    <t>INV0005921</t>
  </si>
  <si>
    <t>INV0005922</t>
  </si>
  <si>
    <t>INV0005923</t>
  </si>
  <si>
    <t>INV0005924</t>
  </si>
  <si>
    <t>INV0005925</t>
  </si>
  <si>
    <t>INV0005926</t>
  </si>
  <si>
    <t>INV0005927</t>
  </si>
  <si>
    <t>INV0005928</t>
  </si>
  <si>
    <t>INV0005929</t>
  </si>
  <si>
    <t>INV0005930</t>
  </si>
  <si>
    <t>INV0005931</t>
  </si>
  <si>
    <t>INV0005932</t>
  </si>
  <si>
    <t>INV0005933</t>
  </si>
  <si>
    <t>INV0005934</t>
  </si>
  <si>
    <t>INV0005935</t>
  </si>
  <si>
    <t>INV0005936</t>
  </si>
  <si>
    <t>INV0005937</t>
  </si>
  <si>
    <t>INV0005938</t>
  </si>
  <si>
    <t>INV0005939</t>
  </si>
  <si>
    <t>INV0005940</t>
  </si>
  <si>
    <t>INV0005941</t>
  </si>
  <si>
    <t>3774</t>
  </si>
  <si>
    <t>INV0005942</t>
  </si>
  <si>
    <t>INV0005943</t>
  </si>
  <si>
    <t>INV0005944</t>
  </si>
  <si>
    <t>INV0005945</t>
  </si>
  <si>
    <t>2823</t>
  </si>
  <si>
    <t>2611</t>
  </si>
  <si>
    <t>2720</t>
  </si>
  <si>
    <t>3940</t>
  </si>
  <si>
    <t>2222</t>
  </si>
  <si>
    <t>1984</t>
  </si>
  <si>
    <t>3857</t>
  </si>
  <si>
    <t>3775</t>
  </si>
  <si>
    <t>INV0005946</t>
  </si>
  <si>
    <t>INV0005947</t>
  </si>
  <si>
    <t>INV0005948</t>
  </si>
  <si>
    <t>INV0005949</t>
  </si>
  <si>
    <t>INV0005950</t>
  </si>
  <si>
    <t>INV0005951</t>
  </si>
  <si>
    <t>INV0005952</t>
  </si>
  <si>
    <t>INV0005953</t>
  </si>
  <si>
    <t>INV0005954</t>
  </si>
  <si>
    <t>INV0005955</t>
  </si>
  <si>
    <t>INV0005956</t>
  </si>
  <si>
    <t>INV0005957</t>
  </si>
  <si>
    <t>INV0005958</t>
  </si>
  <si>
    <t>INV0005959</t>
  </si>
  <si>
    <t>INV0005960</t>
  </si>
  <si>
    <t>INV0005961</t>
  </si>
  <si>
    <t>INV0005962</t>
  </si>
  <si>
    <t>INV0005963</t>
  </si>
  <si>
    <t>INV0005964</t>
  </si>
  <si>
    <t>INV0005965</t>
  </si>
  <si>
    <t>INV0005966</t>
  </si>
  <si>
    <t>INV0005967</t>
  </si>
  <si>
    <t>INV0005968</t>
  </si>
  <si>
    <t>INV0005969</t>
  </si>
  <si>
    <t>1973</t>
  </si>
  <si>
    <t>23694</t>
  </si>
  <si>
    <t>23695</t>
  </si>
  <si>
    <t>Werntworth to Senekal Ovk</t>
  </si>
  <si>
    <t>23698</t>
  </si>
  <si>
    <t>23697</t>
  </si>
  <si>
    <t>HSD377FS</t>
  </si>
  <si>
    <t>Rets'elisitsoe Lekhooa</t>
  </si>
  <si>
    <t>Wenworth to Dewertsdorp OVK</t>
  </si>
  <si>
    <t>29215</t>
  </si>
  <si>
    <t>Lesoli Majoro</t>
  </si>
  <si>
    <t>Sefonia Semoli</t>
  </si>
  <si>
    <t>23700</t>
  </si>
  <si>
    <t xml:space="preserve">Tieho Kobeli </t>
  </si>
  <si>
    <t>26483</t>
  </si>
  <si>
    <t>HRG694FS</t>
  </si>
  <si>
    <t xml:space="preserve">Thabo Motemekoane </t>
  </si>
  <si>
    <t>26482</t>
  </si>
  <si>
    <t>HSD375FS</t>
  </si>
  <si>
    <t>Liphapang Melato</t>
  </si>
  <si>
    <t>29038</t>
  </si>
  <si>
    <t>Thebe Rakoti</t>
  </si>
  <si>
    <t>26911</t>
  </si>
  <si>
    <t>26912</t>
  </si>
  <si>
    <t>26419</t>
  </si>
  <si>
    <t xml:space="preserve">Malefane Makhetha </t>
  </si>
  <si>
    <t>26420</t>
  </si>
  <si>
    <t>26418</t>
  </si>
  <si>
    <t>27972</t>
  </si>
  <si>
    <t>29352</t>
  </si>
  <si>
    <t>Rethabile Matala</t>
  </si>
  <si>
    <t>Wentworth to Hobhouse Ovk</t>
  </si>
  <si>
    <t>26171</t>
  </si>
  <si>
    <t>29351</t>
  </si>
  <si>
    <t>29301</t>
  </si>
  <si>
    <t>29302</t>
  </si>
  <si>
    <t>29303</t>
  </si>
  <si>
    <t>29049</t>
  </si>
  <si>
    <t>29353</t>
  </si>
  <si>
    <t>5635513/356</t>
  </si>
  <si>
    <t>5638870/104</t>
  </si>
  <si>
    <t>5647869/112</t>
  </si>
  <si>
    <t>5627616/104</t>
  </si>
  <si>
    <t>5627612/104</t>
  </si>
  <si>
    <t>5630204/107</t>
  </si>
  <si>
    <t>5630757/104</t>
  </si>
  <si>
    <t>5630759/104</t>
  </si>
  <si>
    <t>5633324/104</t>
  </si>
  <si>
    <t>5634640/104</t>
  </si>
  <si>
    <t>5635162/104</t>
  </si>
  <si>
    <t>5635702/120</t>
  </si>
  <si>
    <t>5637530/104</t>
  </si>
  <si>
    <t>5637533/104</t>
  </si>
  <si>
    <t>5640204/104</t>
  </si>
  <si>
    <t>5640205/104</t>
  </si>
  <si>
    <t>5640682/104</t>
  </si>
  <si>
    <t>5640683/104</t>
  </si>
  <si>
    <t>5631970/230</t>
  </si>
  <si>
    <t>5644561/104</t>
  </si>
  <si>
    <t>5646794/104</t>
  </si>
  <si>
    <t>5647765/225</t>
  </si>
  <si>
    <t>5647957/104</t>
  </si>
  <si>
    <t>5647954/104</t>
  </si>
  <si>
    <t>5651192/104</t>
  </si>
  <si>
    <t>5651832/104</t>
  </si>
  <si>
    <t>5651833/104</t>
  </si>
  <si>
    <t>5654760/104</t>
  </si>
  <si>
    <t>MYS11417</t>
  </si>
  <si>
    <t>MYS11416</t>
  </si>
  <si>
    <t>MYS11415</t>
  </si>
  <si>
    <t>MYS11414</t>
  </si>
  <si>
    <t>MYS11413</t>
  </si>
  <si>
    <t>MYS11412</t>
  </si>
  <si>
    <t>MYS11411</t>
  </si>
  <si>
    <t>MYS11410</t>
  </si>
  <si>
    <t>MYS11409</t>
  </si>
  <si>
    <t>MYS11408</t>
  </si>
  <si>
    <t>MYS11395</t>
  </si>
  <si>
    <t>MYS11385</t>
  </si>
  <si>
    <t>MYS11394</t>
  </si>
  <si>
    <t>MYS11384</t>
  </si>
  <si>
    <t>MYS11393</t>
  </si>
  <si>
    <t>MYS11392</t>
  </si>
  <si>
    <t>MYS11391</t>
  </si>
  <si>
    <t>MYS11390</t>
  </si>
  <si>
    <t>MYS11389</t>
  </si>
  <si>
    <t>MYS11388</t>
  </si>
  <si>
    <t>MYS11387</t>
  </si>
  <si>
    <t>MYS11386</t>
  </si>
  <si>
    <t>MYS11435</t>
  </si>
  <si>
    <t>MYS11434</t>
  </si>
  <si>
    <t>MYS11433</t>
  </si>
  <si>
    <t>MYS11432</t>
  </si>
  <si>
    <t>MYS11431</t>
  </si>
  <si>
    <t>MYS11430</t>
  </si>
  <si>
    <t>MYS11429</t>
  </si>
  <si>
    <t>MYS11427</t>
  </si>
  <si>
    <t>MYS11426</t>
  </si>
  <si>
    <t>5628024/225</t>
  </si>
  <si>
    <t>26966/'26965</t>
  </si>
  <si>
    <t>MYS11423</t>
  </si>
  <si>
    <t>MYS11422</t>
  </si>
  <si>
    <t>MYS11540</t>
  </si>
  <si>
    <t>MYS11538</t>
  </si>
  <si>
    <t>MYS11539</t>
  </si>
  <si>
    <t>MYS11544</t>
  </si>
  <si>
    <t>MYS11537</t>
  </si>
  <si>
    <t>MYS11536</t>
  </si>
  <si>
    <t>MYS11535</t>
  </si>
  <si>
    <t>MYS11534</t>
  </si>
  <si>
    <t>MYS11533</t>
  </si>
  <si>
    <t>MYS11532</t>
  </si>
  <si>
    <t>MYS11531</t>
  </si>
  <si>
    <t>MYS11530</t>
  </si>
  <si>
    <t>MYS11529</t>
  </si>
  <si>
    <t>MYS11526</t>
  </si>
  <si>
    <t>MYS11527</t>
  </si>
  <si>
    <t>MYS11528</t>
  </si>
  <si>
    <t>MYS11523</t>
  </si>
  <si>
    <t>MYS11525</t>
  </si>
  <si>
    <t>MYS11524</t>
  </si>
  <si>
    <t>MYS11567</t>
  </si>
  <si>
    <t>MYS11566</t>
  </si>
  <si>
    <t>MYS11565</t>
  </si>
  <si>
    <t>MYS11564</t>
  </si>
  <si>
    <t>MYS11664</t>
  </si>
  <si>
    <t>MYS11563</t>
  </si>
  <si>
    <t>MYS11562</t>
  </si>
  <si>
    <t>MYS11561</t>
  </si>
  <si>
    <t>MYS11560</t>
  </si>
  <si>
    <t>MYS11558</t>
  </si>
  <si>
    <t>MYS11557</t>
  </si>
  <si>
    <t>MYS11556</t>
  </si>
  <si>
    <t>MYS11555</t>
  </si>
  <si>
    <t>MYS11554</t>
  </si>
  <si>
    <t>MYS11553</t>
  </si>
  <si>
    <t>MYS11552</t>
  </si>
  <si>
    <t>MYS11551</t>
  </si>
  <si>
    <t>MYS11550</t>
  </si>
  <si>
    <t>MYS11549</t>
  </si>
  <si>
    <t>MYS11548</t>
  </si>
  <si>
    <t>MYS11547</t>
  </si>
  <si>
    <t>MYS11546</t>
  </si>
  <si>
    <t>MYS11545</t>
  </si>
  <si>
    <t>MYS11543</t>
  </si>
  <si>
    <t>MYS11542</t>
  </si>
  <si>
    <t>MYS11541</t>
  </si>
  <si>
    <t>MYS11620</t>
  </si>
  <si>
    <t>MYS11619</t>
  </si>
  <si>
    <t>MYS11618</t>
  </si>
  <si>
    <t>MYS11617</t>
  </si>
  <si>
    <t>MYS11616</t>
  </si>
  <si>
    <t>MYS11615</t>
  </si>
  <si>
    <t>MYS11614</t>
  </si>
  <si>
    <t>MYS11613</t>
  </si>
  <si>
    <t>MYS11658</t>
  </si>
  <si>
    <t>MYS11657</t>
  </si>
  <si>
    <t>MYS11656</t>
  </si>
  <si>
    <t>MYS11655</t>
  </si>
  <si>
    <t>MYS11654</t>
  </si>
  <si>
    <t>MYS11653</t>
  </si>
  <si>
    <t>MYS11652</t>
  </si>
  <si>
    <t>MYS11651</t>
  </si>
  <si>
    <t>MYS11650</t>
  </si>
  <si>
    <t>MYS11690</t>
  </si>
  <si>
    <t>MYS11689</t>
  </si>
  <si>
    <t>MYS11688</t>
  </si>
  <si>
    <t>MYS11687</t>
  </si>
  <si>
    <t>MYS11669</t>
  </si>
  <si>
    <t>MYS29352</t>
  </si>
  <si>
    <t>MYS11424</t>
  </si>
  <si>
    <t>MYS11428</t>
  </si>
  <si>
    <t>MYS11568</t>
  </si>
  <si>
    <t>MYS11559</t>
  </si>
  <si>
    <t>MYS11666</t>
  </si>
  <si>
    <t>MYS11665</t>
  </si>
  <si>
    <t>MYS11722</t>
  </si>
  <si>
    <t>MYS11721</t>
  </si>
  <si>
    <t>MYS11720</t>
  </si>
  <si>
    <t>MYS11719</t>
  </si>
  <si>
    <t>MYS11718</t>
  </si>
  <si>
    <t>MYS11708</t>
  </si>
  <si>
    <t>MYS11707</t>
  </si>
  <si>
    <t>MYS11706</t>
  </si>
  <si>
    <t>MYS11705</t>
  </si>
  <si>
    <t>MYS11596</t>
  </si>
  <si>
    <t>MYS11595</t>
  </si>
  <si>
    <t>MYS11594</t>
  </si>
  <si>
    <t>MYS11593</t>
  </si>
  <si>
    <t>MYS11633</t>
  </si>
  <si>
    <t>MYS11634</t>
  </si>
  <si>
    <t>MYS11635</t>
  </si>
  <si>
    <t>MYS11636</t>
  </si>
  <si>
    <t>MYS11637</t>
  </si>
  <si>
    <t>MYS11638</t>
  </si>
  <si>
    <t>MYS11639</t>
  </si>
  <si>
    <t>MYS11640</t>
  </si>
  <si>
    <t>MYS11641</t>
  </si>
  <si>
    <t>MYS11667</t>
  </si>
  <si>
    <t>MYS11776</t>
  </si>
  <si>
    <t>MYS11777</t>
  </si>
  <si>
    <t>2824</t>
  </si>
  <si>
    <t>MYS11778</t>
  </si>
  <si>
    <t>MYS11775</t>
  </si>
  <si>
    <t>INV0005970</t>
  </si>
  <si>
    <t>MYS11794</t>
  </si>
  <si>
    <t>MYS11787</t>
  </si>
  <si>
    <t>MYS11801</t>
  </si>
  <si>
    <t>MYS11745</t>
  </si>
  <si>
    <t>MYS11743</t>
  </si>
  <si>
    <t>MYS11744</t>
  </si>
  <si>
    <t>MYS11746</t>
  </si>
  <si>
    <t>MYS11742</t>
  </si>
  <si>
    <t>MYS11740</t>
  </si>
  <si>
    <t>MYS11741</t>
  </si>
  <si>
    <t>MYS11739</t>
  </si>
  <si>
    <t>INV0005971</t>
  </si>
  <si>
    <t>INV0005972</t>
  </si>
  <si>
    <t>INV0005973</t>
  </si>
  <si>
    <t>INV0005974</t>
  </si>
  <si>
    <t>INV0005975</t>
  </si>
  <si>
    <t>INV0005976</t>
  </si>
  <si>
    <t>INV0005977</t>
  </si>
  <si>
    <t>INV0005978</t>
  </si>
  <si>
    <t>INV0005979</t>
  </si>
  <si>
    <t>INV0005980</t>
  </si>
  <si>
    <t>INV0005981</t>
  </si>
  <si>
    <t>INV0005982</t>
  </si>
  <si>
    <t>INV0005983</t>
  </si>
  <si>
    <t>5635165/104</t>
  </si>
  <si>
    <t>INV0005984</t>
  </si>
  <si>
    <t>INV0005985</t>
  </si>
  <si>
    <t>INV0005986</t>
  </si>
  <si>
    <t>INV0005987</t>
  </si>
  <si>
    <t>INV0005988</t>
  </si>
  <si>
    <t>INV0005989</t>
  </si>
  <si>
    <t>INV0005990</t>
  </si>
  <si>
    <t>INV0005991</t>
  </si>
  <si>
    <t>INV0005992</t>
  </si>
  <si>
    <t>INV0005993</t>
  </si>
  <si>
    <t>INV0005994</t>
  </si>
  <si>
    <t>INV0005995</t>
  </si>
  <si>
    <t>INV0005996</t>
  </si>
  <si>
    <t>INV0005997</t>
  </si>
  <si>
    <t>INV0005998</t>
  </si>
  <si>
    <t>INV0005999</t>
  </si>
  <si>
    <t>INV0006000</t>
  </si>
  <si>
    <t>MOTEBANG RATEFANE</t>
  </si>
  <si>
    <t>1879</t>
  </si>
  <si>
    <t>2721</t>
  </si>
  <si>
    <t>3941</t>
  </si>
  <si>
    <t>2223</t>
  </si>
  <si>
    <t>3858</t>
  </si>
  <si>
    <t>3776</t>
  </si>
  <si>
    <t>1985</t>
  </si>
  <si>
    <t>2825</t>
  </si>
  <si>
    <t>2224</t>
  </si>
  <si>
    <t xml:space="preserve">Daniel Mqwasho </t>
  </si>
  <si>
    <t>2722</t>
  </si>
  <si>
    <t>3777</t>
  </si>
  <si>
    <t>1880</t>
  </si>
  <si>
    <t>1986</t>
  </si>
  <si>
    <t>3859</t>
  </si>
  <si>
    <t>Wentworth to Rosendal &amp; Ficksburg</t>
  </si>
  <si>
    <t>3943</t>
  </si>
  <si>
    <t>2612</t>
  </si>
  <si>
    <t>Wentwoth to Nelspruit</t>
  </si>
  <si>
    <t>2225</t>
  </si>
  <si>
    <t>3778</t>
  </si>
  <si>
    <t>2723</t>
  </si>
  <si>
    <t>3860</t>
  </si>
  <si>
    <t>1987</t>
  </si>
  <si>
    <t>1988</t>
  </si>
  <si>
    <t>1756</t>
  </si>
  <si>
    <t>Wentworth to Neslpruit</t>
  </si>
  <si>
    <t>2826</t>
  </si>
  <si>
    <t>2724</t>
  </si>
  <si>
    <t>3945</t>
  </si>
  <si>
    <t>3861</t>
  </si>
  <si>
    <t>2226</t>
  </si>
  <si>
    <t>3779</t>
  </si>
  <si>
    <t>1882</t>
  </si>
  <si>
    <t>2613</t>
  </si>
  <si>
    <t>2614</t>
  </si>
  <si>
    <t>1989</t>
  </si>
  <si>
    <t>3949</t>
  </si>
  <si>
    <t>1883</t>
  </si>
  <si>
    <t>1884</t>
  </si>
  <si>
    <t>1757</t>
  </si>
  <si>
    <t>Wentworth to Ladybrand Ovk</t>
  </si>
  <si>
    <t>2829/2828</t>
  </si>
  <si>
    <t>2725</t>
  </si>
  <si>
    <t>3947</t>
  </si>
  <si>
    <t>2227</t>
  </si>
  <si>
    <t>1990</t>
  </si>
  <si>
    <t>2726</t>
  </si>
  <si>
    <t>2830</t>
  </si>
  <si>
    <t>2615</t>
  </si>
  <si>
    <t>3864</t>
  </si>
  <si>
    <t>1758</t>
  </si>
  <si>
    <t>2228</t>
  </si>
  <si>
    <t>3948</t>
  </si>
  <si>
    <t>1991</t>
  </si>
  <si>
    <t>2831</t>
  </si>
  <si>
    <t>2616</t>
  </si>
  <si>
    <t>2727</t>
  </si>
  <si>
    <t>3865</t>
  </si>
  <si>
    <t>1885</t>
  </si>
  <si>
    <t>2728</t>
  </si>
  <si>
    <t>1759</t>
  </si>
  <si>
    <t>1992</t>
  </si>
  <si>
    <t>2832</t>
  </si>
  <si>
    <t>2229</t>
  </si>
  <si>
    <t>2729</t>
  </si>
  <si>
    <t>2619</t>
  </si>
  <si>
    <t>3866</t>
  </si>
  <si>
    <t>3950</t>
  </si>
  <si>
    <t>1886</t>
  </si>
  <si>
    <t>1993</t>
  </si>
  <si>
    <t>1760</t>
  </si>
  <si>
    <t>2833</t>
  </si>
  <si>
    <t>2230</t>
  </si>
  <si>
    <t>432898690/432898700</t>
  </si>
  <si>
    <t>2730</t>
  </si>
  <si>
    <t>2620</t>
  </si>
  <si>
    <t>3867</t>
  </si>
  <si>
    <t>1761/1762</t>
  </si>
  <si>
    <t>3951</t>
  </si>
  <si>
    <t>Wentworth  to Dewetsdorp</t>
  </si>
  <si>
    <t>3942</t>
  </si>
  <si>
    <t>3944</t>
  </si>
  <si>
    <t>1881</t>
  </si>
  <si>
    <t>2827</t>
  </si>
  <si>
    <t>3946</t>
  </si>
  <si>
    <t>3863/3862</t>
  </si>
  <si>
    <t>Wentworth to Clocolan OVK</t>
  </si>
  <si>
    <t>2617&amp;2618</t>
  </si>
  <si>
    <t>2231</t>
  </si>
  <si>
    <t xml:space="preserve">Wentworth to Hobhouse </t>
  </si>
  <si>
    <t>1887</t>
  </si>
  <si>
    <t>2834</t>
  </si>
  <si>
    <t>1994</t>
  </si>
  <si>
    <t>2621</t>
  </si>
  <si>
    <t>2731</t>
  </si>
  <si>
    <t>1763/'1764</t>
  </si>
  <si>
    <t>3952</t>
  </si>
  <si>
    <t>1995</t>
  </si>
  <si>
    <t>2732</t>
  </si>
  <si>
    <t>1765</t>
  </si>
  <si>
    <t>1996</t>
  </si>
  <si>
    <t>2232</t>
  </si>
  <si>
    <t>2622</t>
  </si>
  <si>
    <t>Wentworth to Rietrivier OVK</t>
  </si>
  <si>
    <t>MALEFANE MAKHETHA</t>
  </si>
  <si>
    <t>NTJA MOSUOE</t>
  </si>
  <si>
    <t>MAJORO LESOLI</t>
  </si>
  <si>
    <t>THEBE RAKOTI</t>
  </si>
  <si>
    <t>LIPHAPANG MELATO</t>
  </si>
  <si>
    <t>MATHE LETIMA</t>
  </si>
  <si>
    <t>KANANELO NTAOPANE</t>
  </si>
  <si>
    <t>MORENAKEMANG TLEBERE</t>
  </si>
  <si>
    <t>TIEHO KOBELI</t>
  </si>
  <si>
    <t>WW TO SENEKAL</t>
  </si>
  <si>
    <t>WW TO FOURIESBURG</t>
  </si>
  <si>
    <t>WW TO LADYBRAND</t>
  </si>
  <si>
    <t>432292921/432293008</t>
  </si>
  <si>
    <t>INV0006003</t>
  </si>
  <si>
    <t>INV0006004</t>
  </si>
  <si>
    <t>INV0006005</t>
  </si>
  <si>
    <t>INV0006006</t>
  </si>
  <si>
    <t>INV0006007</t>
  </si>
  <si>
    <t>INV0006008</t>
  </si>
  <si>
    <t>INV0006009</t>
  </si>
  <si>
    <t>INV0006010</t>
  </si>
  <si>
    <t>INV0006011</t>
  </si>
  <si>
    <t>INV0006012</t>
  </si>
  <si>
    <t>INV0006013</t>
  </si>
  <si>
    <t>INV0006014</t>
  </si>
  <si>
    <t>INV0006015</t>
  </si>
  <si>
    <t>INV0006016</t>
  </si>
  <si>
    <t>INV0006017</t>
  </si>
  <si>
    <t>INV0006018</t>
  </si>
  <si>
    <t>INV0006019</t>
  </si>
  <si>
    <t>INV0006020</t>
  </si>
  <si>
    <t>INV0006021</t>
  </si>
  <si>
    <t>INV0006022</t>
  </si>
  <si>
    <t>INV0006023</t>
  </si>
  <si>
    <t>INV0006024</t>
  </si>
  <si>
    <t>INV0006025</t>
  </si>
  <si>
    <t>INV0006026</t>
  </si>
  <si>
    <t>INV0006027</t>
  </si>
  <si>
    <t>INV0006028</t>
  </si>
  <si>
    <t>INV0006029</t>
  </si>
  <si>
    <t>INV0006030</t>
  </si>
  <si>
    <t>INV0006031</t>
  </si>
  <si>
    <t>INV0006032</t>
  </si>
  <si>
    <t>INV0006033</t>
  </si>
  <si>
    <t>INV0006034</t>
  </si>
  <si>
    <t>INV0006035</t>
  </si>
  <si>
    <t>INV0006036</t>
  </si>
  <si>
    <t>INV0006037</t>
  </si>
  <si>
    <t>INV0006038</t>
  </si>
  <si>
    <t>INV0006039</t>
  </si>
  <si>
    <t>INV0006040</t>
  </si>
  <si>
    <t>INV0006041</t>
  </si>
  <si>
    <t>INV0006042</t>
  </si>
  <si>
    <t>INV0006043</t>
  </si>
  <si>
    <t>INV0006044</t>
  </si>
  <si>
    <t>INV0006045</t>
  </si>
  <si>
    <t>INV0006046</t>
  </si>
  <si>
    <t>INV0006047</t>
  </si>
  <si>
    <t>INV0006048</t>
  </si>
  <si>
    <t>INV0006049</t>
  </si>
  <si>
    <t>INV0006050</t>
  </si>
  <si>
    <t>INV0006051</t>
  </si>
  <si>
    <t>INV0006052</t>
  </si>
  <si>
    <t>INV0006053</t>
  </si>
  <si>
    <t>INV0006054</t>
  </si>
  <si>
    <t>INV0006056</t>
  </si>
  <si>
    <t>INV0006055</t>
  </si>
  <si>
    <t>INV0006057</t>
  </si>
  <si>
    <t>INV0006058</t>
  </si>
  <si>
    <t>INV0006059</t>
  </si>
  <si>
    <t>INV0006060</t>
  </si>
  <si>
    <t>INV0006061</t>
  </si>
  <si>
    <t>INV0006062</t>
  </si>
  <si>
    <t>INV0006063</t>
  </si>
  <si>
    <t>INV0006064</t>
  </si>
  <si>
    <t>INV0006065</t>
  </si>
  <si>
    <t>INV0006066</t>
  </si>
  <si>
    <t>INV0006067</t>
  </si>
  <si>
    <t>INV0006068</t>
  </si>
  <si>
    <t>INV0006069</t>
  </si>
  <si>
    <t>INV0006070</t>
  </si>
  <si>
    <t>INV0006071</t>
  </si>
  <si>
    <t>INV0006072</t>
  </si>
  <si>
    <t>INV0006073</t>
  </si>
  <si>
    <t>INV0006074</t>
  </si>
  <si>
    <t>2837</t>
  </si>
  <si>
    <t>1889</t>
  </si>
  <si>
    <t>2733</t>
  </si>
  <si>
    <t>2233</t>
  </si>
  <si>
    <t>3953</t>
  </si>
  <si>
    <t>INV0006075</t>
  </si>
  <si>
    <t>INV0006076</t>
  </si>
  <si>
    <t>INV0006077</t>
  </si>
  <si>
    <t>INV0006078</t>
  </si>
  <si>
    <t>INV0006079</t>
  </si>
  <si>
    <t>INV0006080</t>
  </si>
  <si>
    <t>5659950/104</t>
  </si>
  <si>
    <t>5659539/104</t>
  </si>
  <si>
    <t>5659541/104</t>
  </si>
  <si>
    <t>5662078/103</t>
  </si>
  <si>
    <t>5661656/230</t>
  </si>
  <si>
    <t>5664996/104</t>
  </si>
  <si>
    <t>5665754/104</t>
  </si>
  <si>
    <t>5668563/225</t>
  </si>
  <si>
    <t>5670363/104</t>
  </si>
  <si>
    <t>5670365/104</t>
  </si>
  <si>
    <t>5670427/104</t>
  </si>
  <si>
    <t>5670428/104</t>
  </si>
  <si>
    <t>5672265/104</t>
  </si>
  <si>
    <t>5672253/104</t>
  </si>
  <si>
    <t>5672233/356</t>
  </si>
  <si>
    <t>5673696/104</t>
  </si>
  <si>
    <t>5673701/104</t>
  </si>
  <si>
    <t>5673962/105</t>
  </si>
  <si>
    <t>5673964/105</t>
  </si>
  <si>
    <t>5673966/105</t>
  </si>
  <si>
    <t>5675857/107</t>
  </si>
  <si>
    <t>5675853/356</t>
  </si>
  <si>
    <t>5675862/105</t>
  </si>
  <si>
    <t>5675843/104</t>
  </si>
  <si>
    <t>5675847/104</t>
  </si>
  <si>
    <t>5677064/104</t>
  </si>
  <si>
    <t>5677066/104</t>
  </si>
  <si>
    <t>5678675/105</t>
  </si>
  <si>
    <t>5678677/356</t>
  </si>
  <si>
    <t>5678679/107</t>
  </si>
  <si>
    <t>5677069/104</t>
  </si>
  <si>
    <t>5677074/104</t>
  </si>
  <si>
    <t>5677078/104</t>
  </si>
  <si>
    <t>5679904/102</t>
  </si>
  <si>
    <t>5680125/105</t>
  </si>
  <si>
    <t>5680131/105</t>
  </si>
  <si>
    <t>5680142/104</t>
  </si>
  <si>
    <t>5682613/104</t>
  </si>
  <si>
    <t>5682450/356</t>
  </si>
  <si>
    <t>5685563/101</t>
  </si>
  <si>
    <t>5684529/104</t>
  </si>
  <si>
    <t>5684572/104</t>
  </si>
  <si>
    <t>5681285/225</t>
  </si>
  <si>
    <t>5685397/107/5685397/102</t>
  </si>
  <si>
    <t>433040664/433040668</t>
  </si>
  <si>
    <t>5682469/103</t>
  </si>
  <si>
    <t>5682629/104</t>
  </si>
  <si>
    <t>MAKHETHA</t>
  </si>
  <si>
    <t>5682628/104</t>
  </si>
  <si>
    <t>5664970/102/5664970/107</t>
  </si>
  <si>
    <t>5665931/104</t>
  </si>
  <si>
    <t>29307</t>
  </si>
  <si>
    <t>29354</t>
  </si>
  <si>
    <t>29304</t>
  </si>
  <si>
    <t>29355</t>
  </si>
  <si>
    <t>803400730/803400728</t>
  </si>
  <si>
    <t>26918/'26919</t>
  </si>
  <si>
    <t>28410</t>
  </si>
  <si>
    <t>29411</t>
  </si>
  <si>
    <t/>
  </si>
  <si>
    <t>28051</t>
  </si>
  <si>
    <t>26763</t>
  </si>
  <si>
    <t>28052</t>
  </si>
  <si>
    <t>28053</t>
  </si>
  <si>
    <t>28055</t>
  </si>
  <si>
    <t>26765/26766</t>
  </si>
  <si>
    <t>28056</t>
  </si>
  <si>
    <t>28057</t>
  </si>
  <si>
    <t>803502297/803502296</t>
  </si>
  <si>
    <t>29440/29439</t>
  </si>
  <si>
    <t>29437/29436</t>
  </si>
  <si>
    <t>INV0006082</t>
  </si>
  <si>
    <t>INV0006081</t>
  </si>
  <si>
    <t>INV0006083</t>
  </si>
  <si>
    <t>INV0006084</t>
  </si>
  <si>
    <t>INV0006085</t>
  </si>
  <si>
    <t>INV0006086</t>
  </si>
  <si>
    <t>INV0006087</t>
  </si>
  <si>
    <t>INV0006088</t>
  </si>
  <si>
    <t>INV0006089</t>
  </si>
  <si>
    <t>INV0006090</t>
  </si>
  <si>
    <t>INV0006091</t>
  </si>
  <si>
    <t>INV0006092</t>
  </si>
  <si>
    <t>INV0006093</t>
  </si>
  <si>
    <t>INV0006094</t>
  </si>
  <si>
    <t>INV0006095</t>
  </si>
  <si>
    <t>INV0006096</t>
  </si>
  <si>
    <t>INV0006097</t>
  </si>
  <si>
    <t>INV0006098</t>
  </si>
  <si>
    <t>INV0006099</t>
  </si>
  <si>
    <t>INV0006100</t>
  </si>
  <si>
    <t>INV0006101</t>
  </si>
  <si>
    <t>INV0006102</t>
  </si>
  <si>
    <t>INV0006103</t>
  </si>
  <si>
    <t>INV0006104</t>
  </si>
  <si>
    <t>INV0006105</t>
  </si>
  <si>
    <t>INV0006106</t>
  </si>
  <si>
    <t>INV0006107</t>
  </si>
  <si>
    <t>INV0006108</t>
  </si>
  <si>
    <t>INV0006109</t>
  </si>
  <si>
    <t>INV0006110</t>
  </si>
  <si>
    <t>INV0006111</t>
  </si>
  <si>
    <t>INV0006112</t>
  </si>
  <si>
    <t>INV0006113</t>
  </si>
  <si>
    <t>INV0006114</t>
  </si>
  <si>
    <t>INV0006115</t>
  </si>
  <si>
    <t>INV0006116</t>
  </si>
  <si>
    <t>INV0006117</t>
  </si>
  <si>
    <t>INV0006118</t>
  </si>
  <si>
    <t>INV0006119</t>
  </si>
  <si>
    <t>INV0006120</t>
  </si>
  <si>
    <t>INV0006121</t>
  </si>
  <si>
    <t>INV0006122</t>
  </si>
  <si>
    <t>INV0006123</t>
  </si>
  <si>
    <t>INV0006124</t>
  </si>
  <si>
    <t>INV0006125</t>
  </si>
  <si>
    <t>INV0006126</t>
  </si>
  <si>
    <t>INV0006127</t>
  </si>
  <si>
    <t>INV0006128</t>
  </si>
  <si>
    <t>INV0006129</t>
  </si>
  <si>
    <t>INV0006130</t>
  </si>
  <si>
    <t>MYS11783</t>
  </si>
  <si>
    <t>MYS11774</t>
  </si>
  <si>
    <t>MYS11872</t>
  </si>
  <si>
    <t>MYS11871</t>
  </si>
  <si>
    <t>MYS11869</t>
  </si>
  <si>
    <t>MYS11868</t>
  </si>
  <si>
    <t>MYS11863</t>
  </si>
  <si>
    <t>MYS11861</t>
  </si>
  <si>
    <t>MYS11864</t>
  </si>
  <si>
    <t>MYS11862</t>
  </si>
  <si>
    <t>MYS11867</t>
  </si>
  <si>
    <t>MYS11866</t>
  </si>
  <si>
    <t>MYS11685</t>
  </si>
  <si>
    <t>MYS11817</t>
  </si>
  <si>
    <t>MYS11879</t>
  </si>
  <si>
    <t>MYS11878</t>
  </si>
  <si>
    <t>MYS11877</t>
  </si>
  <si>
    <t>MYS11875</t>
  </si>
  <si>
    <t>MYS11874</t>
  </si>
  <si>
    <t>MYS11873</t>
  </si>
  <si>
    <t>MYS11890</t>
  </si>
  <si>
    <t>MYS11889</t>
  </si>
  <si>
    <t>MYS11886</t>
  </si>
  <si>
    <t>MYS11884</t>
  </si>
  <si>
    <t>MYS11883</t>
  </si>
  <si>
    <t>MYS11882</t>
  </si>
  <si>
    <t>MYS11881</t>
  </si>
  <si>
    <t>MYS11880</t>
  </si>
  <si>
    <t>MYS11914</t>
  </si>
  <si>
    <t>MYS11913</t>
  </si>
  <si>
    <t>MYS11912</t>
  </si>
  <si>
    <t>MYS11911</t>
  </si>
  <si>
    <t>MYS11910</t>
  </si>
  <si>
    <t>MYS11905</t>
  </si>
  <si>
    <t>MYS11904</t>
  </si>
  <si>
    <t>MYS11903</t>
  </si>
  <si>
    <t>MYS11902</t>
  </si>
  <si>
    <t>MYS11901</t>
  </si>
  <si>
    <t>MYS11900</t>
  </si>
  <si>
    <t>MYS11899</t>
  </si>
  <si>
    <t>MYS11898</t>
  </si>
  <si>
    <t>MYS11923</t>
  </si>
  <si>
    <t>MYS11921</t>
  </si>
  <si>
    <t>MYS11919</t>
  </si>
  <si>
    <t>MYS11918</t>
  </si>
  <si>
    <t>MYS11917</t>
  </si>
  <si>
    <t>MYS11945</t>
  </si>
  <si>
    <t>MYS11944</t>
  </si>
  <si>
    <t>MYS11943</t>
  </si>
  <si>
    <t>MYS11942</t>
  </si>
  <si>
    <t>MYS11941</t>
  </si>
  <si>
    <t>MYS11955</t>
  </si>
  <si>
    <t>MYS11954</t>
  </si>
  <si>
    <t>MYS11953</t>
  </si>
  <si>
    <t>MYS11952</t>
  </si>
  <si>
    <t>MYS11951</t>
  </si>
  <si>
    <t>MYS11950</t>
  </si>
  <si>
    <t>MYS11949</t>
  </si>
  <si>
    <t>MYS12017</t>
  </si>
  <si>
    <t>MYS12016</t>
  </si>
  <si>
    <t>MYS12015</t>
  </si>
  <si>
    <t>MYS12014</t>
  </si>
  <si>
    <t>MYS12013</t>
  </si>
  <si>
    <t>MYS12012</t>
  </si>
  <si>
    <t>MYS12011</t>
  </si>
  <si>
    <t>MYS12010</t>
  </si>
  <si>
    <t>MYS12009</t>
  </si>
  <si>
    <t>MYS12008/MYS12007</t>
  </si>
  <si>
    <t>MYS11987</t>
  </si>
  <si>
    <t>MYS11986</t>
  </si>
  <si>
    <t>MYS11985</t>
  </si>
  <si>
    <t>MYS11984</t>
  </si>
  <si>
    <t>MYS11982</t>
  </si>
  <si>
    <t>MYS11981</t>
  </si>
  <si>
    <t>MYS11980</t>
  </si>
  <si>
    <t>MYS11979</t>
  </si>
  <si>
    <t>MYS11978</t>
  </si>
  <si>
    <t>MYS11977</t>
  </si>
  <si>
    <t>MYS11976</t>
  </si>
  <si>
    <t>MYS11975</t>
  </si>
  <si>
    <t>MYS11983</t>
  </si>
  <si>
    <t>MYS11876</t>
  </si>
  <si>
    <t>MYS11870</t>
  </si>
  <si>
    <t>MYS11891</t>
  </si>
  <si>
    <t>MYS11906</t>
  </si>
  <si>
    <t>MYS11922</t>
  </si>
  <si>
    <t>MYS11920</t>
  </si>
  <si>
    <t>MYS12095</t>
  </si>
  <si>
    <t>MYS12094</t>
  </si>
  <si>
    <t>MYS12093</t>
  </si>
  <si>
    <t>MYS12092</t>
  </si>
  <si>
    <t>MYS12091</t>
  </si>
  <si>
    <t>MYS12024</t>
  </si>
  <si>
    <t>MYS12096</t>
  </si>
  <si>
    <t>MYS12118</t>
  </si>
  <si>
    <t>MYS12116</t>
  </si>
  <si>
    <t>MYS12117</t>
  </si>
  <si>
    <t>MYS12110</t>
  </si>
  <si>
    <t>MYS12109</t>
  </si>
  <si>
    <t>MYS12108</t>
  </si>
  <si>
    <t>MYS12107</t>
  </si>
  <si>
    <t>MYS12104</t>
  </si>
  <si>
    <t>MYS12103</t>
  </si>
  <si>
    <t>MYS12102</t>
  </si>
  <si>
    <t>MYS12101</t>
  </si>
  <si>
    <t>MYS12099</t>
  </si>
  <si>
    <t>MYS12098</t>
  </si>
  <si>
    <t>MYS12097</t>
  </si>
  <si>
    <t>MYS12100</t>
  </si>
  <si>
    <t>MYS12105</t>
  </si>
  <si>
    <t>MYS12089</t>
  </si>
  <si>
    <t>MYS12090</t>
  </si>
  <si>
    <t>MYS12106</t>
  </si>
  <si>
    <t>MYS12158</t>
  </si>
  <si>
    <t>MYS12156</t>
  </si>
  <si>
    <t>MYS12155</t>
  </si>
  <si>
    <t>MYS12154</t>
  </si>
  <si>
    <t>MYS12153</t>
  </si>
  <si>
    <t>MYS12151</t>
  </si>
  <si>
    <t>MYS12150</t>
  </si>
  <si>
    <t>1997</t>
  </si>
  <si>
    <t>MYS12147</t>
  </si>
  <si>
    <t>MYS12146</t>
  </si>
  <si>
    <t>MYS12145</t>
  </si>
  <si>
    <t>MYS12148</t>
  </si>
  <si>
    <t>MYS11885</t>
  </si>
  <si>
    <t>MYS12152</t>
  </si>
  <si>
    <t>MYS12157</t>
  </si>
  <si>
    <t>MYS12164</t>
  </si>
  <si>
    <t>DANIEL MQWASHO</t>
  </si>
  <si>
    <t>MOSITO MAKHATHA</t>
  </si>
  <si>
    <t>MICHAEL TJOPINYANA</t>
  </si>
  <si>
    <t>FUSI MOKOENA</t>
  </si>
  <si>
    <t>MOEKETSI MONAHENG</t>
  </si>
  <si>
    <t>KARABO LINAKE</t>
  </si>
  <si>
    <t>LIBAKHA THEJANE</t>
  </si>
  <si>
    <t>MOEKETSI MOKATANA</t>
  </si>
  <si>
    <t>MONAHENG MOEKETSI</t>
  </si>
  <si>
    <t>THAPELO MAYIPHELI</t>
  </si>
  <si>
    <t>SEKOME MONOKOANE</t>
  </si>
  <si>
    <t>LEBOHANG TJABAKA</t>
  </si>
  <si>
    <t>LEABUA PHALATSI</t>
  </si>
  <si>
    <t xml:space="preserve">LEABUA PHALATSI </t>
  </si>
  <si>
    <t>Wentworth to Maseru</t>
  </si>
  <si>
    <t>2735</t>
  </si>
  <si>
    <t>1998</t>
  </si>
  <si>
    <t>3868</t>
  </si>
  <si>
    <t>1770</t>
  </si>
  <si>
    <t>2235</t>
  </si>
  <si>
    <t>1890</t>
  </si>
  <si>
    <t>2234</t>
  </si>
  <si>
    <t>1769</t>
  </si>
  <si>
    <t>3955</t>
  </si>
  <si>
    <t>2838</t>
  </si>
  <si>
    <t>3954</t>
  </si>
  <si>
    <t>2839</t>
  </si>
  <si>
    <t>2624</t>
  </si>
  <si>
    <t>2734</t>
  </si>
  <si>
    <t>2623</t>
  </si>
  <si>
    <t>2740</t>
  </si>
  <si>
    <t>1773</t>
  </si>
  <si>
    <t>3870</t>
  </si>
  <si>
    <t>3959</t>
  </si>
  <si>
    <t>2239</t>
  </si>
  <si>
    <t>2843</t>
  </si>
  <si>
    <t>0153</t>
  </si>
  <si>
    <t>1894</t>
  </si>
  <si>
    <t>1772</t>
  </si>
  <si>
    <t>2739</t>
  </si>
  <si>
    <t>2844</t>
  </si>
  <si>
    <t>0154</t>
  </si>
  <si>
    <t>0152</t>
  </si>
  <si>
    <t>2238</t>
  </si>
  <si>
    <t>2738</t>
  </si>
  <si>
    <t>1893</t>
  </si>
  <si>
    <t>3958</t>
  </si>
  <si>
    <t>2627</t>
  </si>
  <si>
    <t>2842</t>
  </si>
  <si>
    <t>1891</t>
  </si>
  <si>
    <t>2737</t>
  </si>
  <si>
    <t>2237</t>
  </si>
  <si>
    <t>2736</t>
  </si>
  <si>
    <t>2841</t>
  </si>
  <si>
    <t>2236</t>
  </si>
  <si>
    <t>1771</t>
  </si>
  <si>
    <t>0151</t>
  </si>
  <si>
    <t>2626</t>
  </si>
  <si>
    <t>3957</t>
  </si>
  <si>
    <t>East london to Boksburg</t>
  </si>
  <si>
    <t>1892</t>
  </si>
  <si>
    <t>2840</t>
  </si>
  <si>
    <t>2625</t>
  </si>
  <si>
    <t>3956</t>
  </si>
  <si>
    <t>3869</t>
  </si>
  <si>
    <t>2240</t>
  </si>
  <si>
    <t>3960</t>
  </si>
  <si>
    <t>3871</t>
  </si>
  <si>
    <t>2741</t>
  </si>
  <si>
    <t>0155</t>
  </si>
  <si>
    <t>2845</t>
  </si>
  <si>
    <t>3961</t>
  </si>
  <si>
    <t>1774</t>
  </si>
  <si>
    <t>2241</t>
  </si>
  <si>
    <t>2742</t>
  </si>
  <si>
    <t>2628</t>
  </si>
  <si>
    <t>2242</t>
  </si>
  <si>
    <t>2743</t>
  </si>
  <si>
    <t>2846</t>
  </si>
  <si>
    <t>0159</t>
  </si>
  <si>
    <t>1775</t>
  </si>
  <si>
    <t>3962</t>
  </si>
  <si>
    <t>2744</t>
  </si>
  <si>
    <t>2630</t>
  </si>
  <si>
    <t>2243</t>
  </si>
  <si>
    <t>1776</t>
  </si>
  <si>
    <t>0157</t>
  </si>
  <si>
    <t>3963</t>
  </si>
  <si>
    <t>2847</t>
  </si>
  <si>
    <t>1895</t>
  </si>
  <si>
    <t>2629</t>
  </si>
  <si>
    <t>LESOLI MAJORO</t>
  </si>
  <si>
    <t>MAKHETHA MALEFANE</t>
  </si>
  <si>
    <t>WENTWORTH TO THABA NCHU</t>
  </si>
  <si>
    <t>THABO MOTEMEKOANE</t>
  </si>
  <si>
    <t>LOADING POINT</t>
  </si>
  <si>
    <t>WENTWORTH</t>
  </si>
  <si>
    <t>TRAILER REG</t>
  </si>
  <si>
    <t>CUSTOMER</t>
  </si>
  <si>
    <t>STATUS</t>
  </si>
  <si>
    <t>POSITION</t>
  </si>
  <si>
    <t>OFFLOADING POINT</t>
  </si>
  <si>
    <t>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</si>
</sst>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2" tint="-0.89999084444715716"/>
      <name val="Algerian"/>
      <family val="5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1D2D3E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sz val="11"/>
      <color rgb="FF242424"/>
      <name val="Calibri"/>
      <family val="2"/>
      <scheme val="minor"/>
    </font>
    <font>
      <sz val="10"/>
      <color rgb="FF1D2D3E"/>
      <name val="Calibri"/>
      <family val="2"/>
    </font>
    <font>
      <sz val="11"/>
      <color rgb="FF1D2D3E"/>
      <name val="Calibri"/>
      <family val="2"/>
    </font>
    <font>
      <sz val="11"/>
      <color rgb="FF000000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n">
        <color theme="0"/>
      </right>
      <top/>
      <bottom/>
      <diagonal/>
    </border>
  </borders>
  <cellStyleXfs count="2">
    <xf numFmtId="0" fontId="0" fillId="0" borderId="0"/>
    <xf numFmtId="0" fontId="3" fillId="0" borderId="0"/>
  </cellStyleXfs>
  <cellXfs count="63">
    <xf numFmtId="0" fontId="0" fillId="0" borderId="0" xfId="0"/>
    <xf numFmtId="15" fontId="1" fillId="2" borderId="1" xfId="0" applyNumberFormat="1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2" fontId="1" fillId="2" borderId="1" xfId="0" applyNumberFormat="1" applyFont="1" applyFill="1" applyBorder="1"/>
    <xf numFmtId="49" fontId="1" fillId="3" borderId="1" xfId="0" applyNumberFormat="1" applyFont="1" applyFill="1" applyBorder="1" applyAlignment="1">
      <alignment horizontal="right"/>
    </xf>
    <xf numFmtId="0" fontId="1" fillId="2" borderId="2" xfId="0" applyFont="1" applyFill="1" applyBorder="1"/>
    <xf numFmtId="15" fontId="0" fillId="0" borderId="0" xfId="0" applyNumberFormat="1"/>
    <xf numFmtId="2" fontId="0" fillId="0" borderId="0" xfId="0" applyNumberFormat="1"/>
    <xf numFmtId="0" fontId="0" fillId="0" borderId="0" xfId="0" quotePrefix="1"/>
    <xf numFmtId="0" fontId="4" fillId="0" borderId="0" xfId="0" applyFont="1" applyAlignment="1">
      <alignment horizontal="right" vertical="center"/>
    </xf>
    <xf numFmtId="15" fontId="0" fillId="4" borderId="0" xfId="0" applyNumberFormat="1" applyFill="1"/>
    <xf numFmtId="0" fontId="0" fillId="4" borderId="0" xfId="0" applyFill="1"/>
    <xf numFmtId="2" fontId="0" fillId="4" borderId="0" xfId="0" applyNumberFormat="1" applyFill="1"/>
    <xf numFmtId="0" fontId="0" fillId="4" borderId="0" xfId="0" quotePrefix="1" applyFill="1"/>
    <xf numFmtId="0" fontId="0" fillId="3" borderId="0" xfId="0" applyFill="1"/>
    <xf numFmtId="0" fontId="0" fillId="3" borderId="0" xfId="0" quotePrefix="1" applyFill="1"/>
    <xf numFmtId="0" fontId="4" fillId="0" borderId="0" xfId="0" applyFont="1"/>
    <xf numFmtId="0" fontId="4" fillId="0" borderId="0" xfId="0" applyFont="1" applyAlignment="1">
      <alignment vertical="center"/>
    </xf>
    <xf numFmtId="15" fontId="0" fillId="3" borderId="0" xfId="0" applyNumberFormat="1" applyFill="1"/>
    <xf numFmtId="0" fontId="4" fillId="3" borderId="0" xfId="0" applyFont="1" applyFill="1"/>
    <xf numFmtId="2" fontId="0" fillId="3" borderId="0" xfId="0" applyNumberFormat="1" applyFill="1"/>
    <xf numFmtId="0" fontId="5" fillId="0" borderId="0" xfId="0" applyFont="1" applyAlignment="1">
      <alignment horizontal="right" vertical="center"/>
    </xf>
    <xf numFmtId="0" fontId="4" fillId="4" borderId="0" xfId="0" applyFont="1" applyFill="1" applyAlignment="1">
      <alignment horizontal="right" vertical="center"/>
    </xf>
    <xf numFmtId="0" fontId="0" fillId="5" borderId="0" xfId="0" quotePrefix="1" applyFill="1"/>
    <xf numFmtId="15" fontId="0" fillId="0" borderId="0" xfId="0" quotePrefix="1" applyNumberFormat="1"/>
    <xf numFmtId="0" fontId="6" fillId="0" borderId="0" xfId="0" applyFont="1" applyAlignment="1">
      <alignment horizontal="right" vertical="center"/>
    </xf>
    <xf numFmtId="15" fontId="0" fillId="6" borderId="0" xfId="0" applyNumberFormat="1" applyFill="1"/>
    <xf numFmtId="0" fontId="0" fillId="6" borderId="0" xfId="0" applyFill="1"/>
    <xf numFmtId="2" fontId="0" fillId="6" borderId="0" xfId="0" applyNumberFormat="1" applyFill="1"/>
    <xf numFmtId="0" fontId="0" fillId="6" borderId="0" xfId="0" quotePrefix="1" applyFill="1"/>
    <xf numFmtId="15" fontId="0" fillId="7" borderId="0" xfId="0" applyNumberFormat="1" applyFill="1"/>
    <xf numFmtId="0" fontId="0" fillId="7" borderId="0" xfId="0" applyFill="1"/>
    <xf numFmtId="2" fontId="0" fillId="7" borderId="0" xfId="0" applyNumberFormat="1" applyFill="1"/>
    <xf numFmtId="0" fontId="0" fillId="7" borderId="0" xfId="0" quotePrefix="1" applyFill="1"/>
    <xf numFmtId="0" fontId="7" fillId="0" borderId="0" xfId="0" applyFont="1" applyAlignment="1">
      <alignment horizontal="right"/>
    </xf>
    <xf numFmtId="0" fontId="8" fillId="0" borderId="0" xfId="0" applyFont="1"/>
    <xf numFmtId="15" fontId="9" fillId="2" borderId="1" xfId="0" applyNumberFormat="1" applyFont="1" applyFill="1" applyBorder="1"/>
    <xf numFmtId="0" fontId="9" fillId="2" borderId="1" xfId="0" applyFont="1" applyFill="1" applyBorder="1"/>
    <xf numFmtId="0" fontId="9" fillId="2" borderId="1" xfId="0" applyFont="1" applyFill="1" applyBorder="1" applyAlignment="1">
      <alignment horizontal="left"/>
    </xf>
    <xf numFmtId="2" fontId="9" fillId="2" borderId="1" xfId="0" applyNumberFormat="1" applyFont="1" applyFill="1" applyBorder="1"/>
    <xf numFmtId="49" fontId="9" fillId="3" borderId="1" xfId="0" applyNumberFormat="1" applyFont="1" applyFill="1" applyBorder="1" applyAlignment="1">
      <alignment horizontal="right"/>
    </xf>
    <xf numFmtId="0" fontId="9" fillId="2" borderId="2" xfId="0" applyFont="1" applyFill="1" applyBorder="1"/>
    <xf numFmtId="0" fontId="8" fillId="8" borderId="0" xfId="0" applyFont="1" applyFill="1" applyAlignment="1">
      <alignment vertical="center" wrapText="1"/>
    </xf>
    <xf numFmtId="0" fontId="8" fillId="8" borderId="0" xfId="0" applyFont="1" applyFill="1" applyAlignment="1">
      <alignment horizontal="right" vertical="center" wrapText="1"/>
    </xf>
    <xf numFmtId="0" fontId="10" fillId="8" borderId="0" xfId="0" applyFont="1" applyFill="1" applyAlignment="1">
      <alignment vertical="center" wrapText="1"/>
    </xf>
    <xf numFmtId="0" fontId="10" fillId="8" borderId="0" xfId="0" applyFont="1" applyFill="1" applyAlignment="1">
      <alignment horizontal="right" vertical="center" wrapText="1"/>
    </xf>
    <xf numFmtId="14" fontId="8" fillId="8" borderId="0" xfId="0" applyNumberFormat="1" applyFont="1" applyFill="1" applyAlignment="1">
      <alignment horizontal="right" vertical="center" wrapText="1"/>
    </xf>
    <xf numFmtId="14" fontId="8" fillId="0" borderId="0" xfId="0" applyNumberFormat="1" applyFont="1"/>
    <xf numFmtId="14" fontId="10" fillId="8" borderId="0" xfId="0" applyNumberFormat="1" applyFont="1" applyFill="1" applyAlignment="1">
      <alignment horizontal="right" vertical="center" wrapText="1"/>
    </xf>
    <xf numFmtId="14" fontId="0" fillId="0" borderId="0" xfId="0" applyNumberFormat="1"/>
    <xf numFmtId="14" fontId="9" fillId="2" borderId="3" xfId="0" applyNumberFormat="1" applyFont="1" applyFill="1" applyBorder="1"/>
    <xf numFmtId="15" fontId="9" fillId="2" borderId="3" xfId="0" applyNumberFormat="1" applyFont="1" applyFill="1" applyBorder="1"/>
    <xf numFmtId="0" fontId="9" fillId="2" borderId="3" xfId="0" applyFont="1" applyFill="1" applyBorder="1"/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Normal" xfId="0" builtinId="0"/>
    <cellStyle name="Normal 4" xfId="1" xr:uid="{DDDEBAF6-76F4-4C23-82DA-68139D074E7D}"/>
  </cellStyles>
  <dxfs count="1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9" formatCode="yyyy/mm/dd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9" formatCode="yyyy/mm/dd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9" formatCode="yyyy/mm/dd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numFmt numFmtId="2" formatCode="0.00"/>
    </dxf>
    <dxf>
      <numFmt numFmtId="0" formatCode="General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Algerian"/>
        <scheme val="none"/>
      </font>
      <fill>
        <patternFill patternType="solid">
          <fgColor theme="9"/>
          <bgColor theme="9"/>
        </patternFill>
      </fill>
    </dxf>
    <dxf>
      <numFmt numFmtId="2" formatCode="0.00"/>
    </dxf>
    <dxf>
      <numFmt numFmtId="0" formatCode="General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Algerian"/>
        <scheme val="none"/>
      </font>
      <fill>
        <patternFill patternType="solid">
          <fgColor theme="9"/>
          <bgColor theme="9"/>
        </patternFill>
      </fill>
    </dxf>
    <dxf>
      <numFmt numFmtId="2" formatCode="0.00"/>
    </dxf>
    <dxf>
      <numFmt numFmtId="0" formatCode="General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Algerian"/>
        <scheme val="none"/>
      </font>
      <fill>
        <patternFill patternType="solid">
          <fgColor theme="9"/>
          <bgColor theme="9"/>
        </patternFill>
      </fill>
    </dxf>
    <dxf>
      <numFmt numFmtId="2" formatCode="0.00"/>
    </dxf>
    <dxf>
      <numFmt numFmtId="0" formatCode="General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Algerian"/>
        <scheme val="none"/>
      </font>
      <fill>
        <patternFill patternType="solid">
          <fgColor theme="9"/>
          <bgColor theme="9"/>
        </patternFill>
      </fill>
    </dxf>
    <dxf>
      <numFmt numFmtId="2" formatCode="0.00"/>
    </dxf>
    <dxf>
      <numFmt numFmtId="0" formatCode="General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Algerian"/>
        <scheme val="none"/>
      </font>
      <fill>
        <patternFill patternType="solid">
          <fgColor theme="9"/>
          <bgColor theme="9"/>
        </patternFill>
      </fill>
    </dxf>
    <dxf>
      <numFmt numFmtId="2" formatCode="0.00"/>
    </dxf>
    <dxf>
      <numFmt numFmtId="0" formatCode="General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Algerian"/>
        <scheme val="none"/>
      </font>
      <fill>
        <patternFill patternType="solid">
          <fgColor theme="9"/>
          <bgColor theme="9"/>
        </patternFill>
      </fill>
    </dxf>
    <dxf>
      <numFmt numFmtId="2" formatCode="0.00"/>
    </dxf>
    <dxf>
      <numFmt numFmtId="0" formatCode="General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Algerian"/>
        <scheme val="none"/>
      </font>
      <fill>
        <patternFill patternType="solid">
          <fgColor theme="9"/>
          <bgColor theme="9"/>
        </patternFill>
      </fill>
    </dxf>
    <dxf>
      <numFmt numFmtId="2" formatCode="0.00"/>
    </dxf>
    <dxf>
      <numFmt numFmtId="0" formatCode="General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Algerian"/>
        <scheme val="none"/>
      </font>
      <fill>
        <patternFill patternType="solid">
          <fgColor theme="9"/>
          <bgColor theme="9"/>
        </patternFill>
      </fill>
    </dxf>
    <dxf>
      <numFmt numFmtId="2" formatCode="0.00"/>
    </dxf>
    <dxf>
      <numFmt numFmtId="0" formatCode="General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Algerian"/>
        <scheme val="none"/>
      </font>
      <fill>
        <patternFill patternType="solid">
          <fgColor theme="9"/>
          <bgColor theme="9"/>
        </patternFill>
      </fill>
    </dxf>
    <dxf>
      <numFmt numFmtId="2" formatCode="0.00"/>
    </dxf>
    <dxf>
      <numFmt numFmtId="0" formatCode="General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Algerian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63C242-267B-4F5F-B6EA-2DE5E8E960D5}" name="Table13456789101112132" displayName="Table13456789101112132" ref="A1:T95" totalsRowShown="0" headerRowDxfId="112" headerRowBorderDxfId="111">
  <autoFilter ref="A1:T95" xr:uid="{2163C242-267B-4F5F-B6EA-2DE5E8E960D5}"/>
  <sortState xmlns:xlrd2="http://schemas.microsoft.com/office/spreadsheetml/2017/richdata2" ref="A2:T95">
    <sortCondition ref="D1:D95"/>
  </sortState>
  <tableColumns count="20">
    <tableColumn id="1" xr3:uid="{21C01007-567B-4CFA-BC0D-119E072BA511}" name="loading date"/>
    <tableColumn id="2" xr3:uid="{72E03965-E143-44AC-99C5-C69098DF6544}" name="offloading DATE"/>
    <tableColumn id="3" xr3:uid="{13F3F3B6-B742-4E49-9148-BB4C734135FB}" name=" TRUCK REG"/>
    <tableColumn id="4" xr3:uid="{D6990AEF-2241-4073-93C5-B2F74C61BB7D}" name=" Driver "/>
    <tableColumn id="5" xr3:uid="{A4801389-6293-4880-9C41-B01D8CEEBA5A}" name="From/To"/>
    <tableColumn id="6" xr3:uid="{A457CD47-E49E-45D9-B2BC-8B4FD0061E8F}" name="ORDER NUMBER"/>
    <tableColumn id="7" xr3:uid="{16436780-8446-45A2-8CC8-186A86BFECA5}" name="Delivery number"/>
    <tableColumn id="8" xr3:uid="{F82997A0-661B-4D47-A978-794DC78C2E9F}" name="LOADED LITRES"/>
    <tableColumn id="9" xr3:uid="{45C13529-36EA-421E-B38D-B0735F1A7DE6}" name="Offloading Litres"/>
    <tableColumn id="10" xr3:uid="{5FEB8ED6-6CDA-46CB-92A0-476711C4E94E}" name=" (LOSS) / GAIN" dataDxfId="110">
      <calculatedColumnFormula>Table13456789101112132[[#This Row],[Offloading Litres]]-Table13456789101112132[[#This Row],[LOADED LITRES]]</calculatedColumnFormula>
    </tableColumn>
    <tableColumn id="11" xr3:uid="{46A6D092-C6C9-464C-B557-4138AF93DC02}" name=" Product "/>
    <tableColumn id="12" xr3:uid="{903F2DD5-980C-46D6-91E5-BD03746CD918}" name="Shipment number"/>
    <tableColumn id="13" xr3:uid="{0B38206F-9A74-40D1-8146-1D8DF4BF1E75}" name=" Invoice Number "/>
    <tableColumn id="14" xr3:uid="{D151B13A-EBE6-4B6A-B85C-19DC7D042E9C}" name="Rate"/>
    <tableColumn id="15" xr3:uid="{0EB84E14-BE17-49A3-9660-D1E7F6027746}" name="Amount" dataDxfId="109">
      <calculatedColumnFormula>Table13456789101112132[[#This Row],[Offloading Litres]]*Table13456789101112132[[#This Row],[Rate]]</calculatedColumnFormula>
    </tableColumn>
    <tableColumn id="16" xr3:uid="{AEC336A0-4761-44B1-B73D-40FB8C9B52E4}" name="WAYBILL"/>
    <tableColumn id="20" xr3:uid="{7440F532-9D22-4B0B-A9B6-205AC4EDE51C}" name="mystic"/>
    <tableColumn id="17" xr3:uid="{37D5E2B4-AEB5-42D9-AA2D-E4EBF4DB355F}" name="FILE NO."/>
    <tableColumn id="19" xr3:uid="{B5ED3706-6B57-4E25-A17C-CE8294F19EFC}" name="mystic2"/>
    <tableColumn id="18" xr3:uid="{DD157B4F-7AFA-4C6D-8C16-93871D682EDB}" name="REMARKS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E05539-D8D1-4A0F-9D1C-104E83F90ECD}" name="Table134567891011121323" displayName="Table134567891011121323" ref="A1:T96" totalsRowShown="0" headerRowDxfId="108" headerRowBorderDxfId="107">
  <autoFilter ref="A1:T96" xr:uid="{48E05539-D8D1-4A0F-9D1C-104E83F90ECD}"/>
  <sortState xmlns:xlrd2="http://schemas.microsoft.com/office/spreadsheetml/2017/richdata2" ref="A2:T71">
    <sortCondition ref="A1:A71"/>
  </sortState>
  <tableColumns count="20">
    <tableColumn id="1" xr3:uid="{409B59AE-FC4B-4405-B947-A328637C76F3}" name="loading date"/>
    <tableColumn id="2" xr3:uid="{4ECEBC91-0941-4E2A-8225-2B8AB07422C0}" name="offloading DATE"/>
    <tableColumn id="3" xr3:uid="{5980719B-4492-4C14-8E46-00C216BE69EE}" name=" TRUCK REG"/>
    <tableColumn id="4" xr3:uid="{13F66811-E8CE-44E6-BE28-7EEB98760215}" name=" Driver "/>
    <tableColumn id="5" xr3:uid="{4DB320A2-378F-4465-8A0C-2C08DBF5DD00}" name="From/To"/>
    <tableColumn id="6" xr3:uid="{71C2F349-23D0-475F-BA14-6143A1A1D7CC}" name="ORDER NUMBER"/>
    <tableColumn id="7" xr3:uid="{897EC352-468E-410A-A339-5E800CC37C02}" name="Delivery number"/>
    <tableColumn id="8" xr3:uid="{07CA8E30-C5EE-4510-920D-6402993E2779}" name="LOADED LITRES"/>
    <tableColumn id="9" xr3:uid="{DF017B3E-13A4-4BE7-8084-12F6F3B5D7E3}" name="Offloading Litres"/>
    <tableColumn id="10" xr3:uid="{F80CE9BA-E590-4CE0-9D89-528568443BCF}" name=" (LOSS) / GAIN" dataDxfId="106">
      <calculatedColumnFormula>Table134567891011121323[[#This Row],[Offloading Litres]]-Table134567891011121323[[#This Row],[LOADED LITRES]]</calculatedColumnFormula>
    </tableColumn>
    <tableColumn id="11" xr3:uid="{04D3ECC2-0AC9-4AE3-9CD8-527F9D8C9096}" name=" Product "/>
    <tableColumn id="12" xr3:uid="{F99A6371-1317-4736-A7E6-5302D054426E}" name="Shipment number"/>
    <tableColumn id="13" xr3:uid="{C60E62B7-E1AD-4B4B-84AF-1A12B0C54E95}" name=" Invoice Number "/>
    <tableColumn id="14" xr3:uid="{2D513C33-BF4C-467D-AAC7-74B7BB94B30A}" name="Rate"/>
    <tableColumn id="15" xr3:uid="{C320284D-ADE7-4D66-A2E3-D18F1FE029BB}" name="Amount" dataDxfId="105">
      <calculatedColumnFormula>Table134567891011121323[[#This Row],[Offloading Litres]]*Table134567891011121323[[#This Row],[Rate]]</calculatedColumnFormula>
    </tableColumn>
    <tableColumn id="16" xr3:uid="{49F59253-77CA-474E-99E7-60B668E387EF}" name="WAYBILL"/>
    <tableColumn id="20" xr3:uid="{1B2C0604-389D-4F35-907A-A56A9470B849}" name="mystic"/>
    <tableColumn id="17" xr3:uid="{AB642FD3-E6A5-4999-A70B-475142265BFF}" name="FILE NO."/>
    <tableColumn id="19" xr3:uid="{4058FE6D-E53B-4E68-A6C0-7EA4AC93876C}" name="mystic2"/>
    <tableColumn id="18" xr3:uid="{8DB5BC9F-97AF-4260-BD40-2E2B93906A3A}" name="REMARKS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6A0370-04AA-414C-B658-4BCBB1B6C829}" name="Table1345678910111213234" displayName="Table1345678910111213234" ref="A1:T82" totalsRowShown="0" headerRowDxfId="104" headerRowBorderDxfId="103">
  <autoFilter ref="A1:T82" xr:uid="{6A6A0370-04AA-414C-B658-4BCBB1B6C829}"/>
  <sortState xmlns:xlrd2="http://schemas.microsoft.com/office/spreadsheetml/2017/richdata2" ref="A12:T77">
    <sortCondition ref="A1:A82"/>
  </sortState>
  <tableColumns count="20">
    <tableColumn id="1" xr3:uid="{E69BEBCE-8E76-49D3-A0F3-2C5BD90CBC01}" name="loading date"/>
    <tableColumn id="2" xr3:uid="{DF08D9A9-1154-4B7C-8ABE-9C06551695F1}" name="offloading DATE"/>
    <tableColumn id="3" xr3:uid="{62C2E94D-F607-4B1B-9120-51FC97F58A85}" name=" TRUCK REG"/>
    <tableColumn id="4" xr3:uid="{32DBDE43-A06C-4839-A741-B9CE7521D968}" name=" Driver "/>
    <tableColumn id="5" xr3:uid="{93DF96D1-5167-4DAB-BD71-F4DE02453646}" name="From/To"/>
    <tableColumn id="6" xr3:uid="{D4DF7871-94EC-43FF-8811-409E44CD90E2}" name="ORDER NUMBER"/>
    <tableColumn id="7" xr3:uid="{08B9A9AB-5E08-4E0C-B20E-40C5317BE5FC}" name="Delivery number"/>
    <tableColumn id="8" xr3:uid="{9B9FB169-4C1F-4025-8323-8EF4DB844F6B}" name="LOADED LITRES"/>
    <tableColumn id="9" xr3:uid="{AD488BA8-3627-48CD-BEF1-49C5E871190F}" name="Offloading Litres"/>
    <tableColumn id="10" xr3:uid="{58CC8575-A00C-4F94-BF05-23DFAACE23AF}" name=" (LOSS) / GAIN" dataDxfId="102">
      <calculatedColumnFormula>Table1345678910111213234[[#This Row],[Offloading Litres]]-Table1345678910111213234[[#This Row],[LOADED LITRES]]</calculatedColumnFormula>
    </tableColumn>
    <tableColumn id="11" xr3:uid="{20E0CEC6-0A71-4A93-ACB1-55C53260055A}" name=" Product "/>
    <tableColumn id="12" xr3:uid="{828255E8-D559-4382-ADF6-CE5D2FC74D10}" name="Shipment number"/>
    <tableColumn id="13" xr3:uid="{B07C5D81-0578-40B1-8107-06F0142E0F5E}" name=" Invoice Number "/>
    <tableColumn id="14" xr3:uid="{E84E05FE-5934-4992-970C-E7337150CC5E}" name="Rate"/>
    <tableColumn id="15" xr3:uid="{AB3D265A-8B5E-4116-B0FC-AFAE41875357}" name="Amount" dataDxfId="101">
      <calculatedColumnFormula>Table1345678910111213234[[#This Row],[Offloading Litres]]*Table1345678910111213234[[#This Row],[Rate]]</calculatedColumnFormula>
    </tableColumn>
    <tableColumn id="16" xr3:uid="{47B8B6F5-AB43-418D-902D-B2A85391281B}" name="WAYBILL"/>
    <tableColumn id="20" xr3:uid="{6E5A522A-0012-4B21-A0C5-A59E27833AE0}" name="mystic"/>
    <tableColumn id="17" xr3:uid="{B41CBF12-A192-44F3-9DA7-98A888244D91}" name="FILE NO."/>
    <tableColumn id="19" xr3:uid="{512F3BF8-9D4A-41E0-A66D-9B35E7D9896F}" name="mystic2"/>
    <tableColumn id="18" xr3:uid="{AD2B96A3-5C8B-42D1-B58F-107C737629BE}" name="REMARKS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93AC68-F7D4-4E87-896E-FC0ED91DA01D}" name="Table13456789101112132345" displayName="Table13456789101112132345" ref="A1:T81" totalsRowShown="0" headerRowDxfId="100" headerRowBorderDxfId="99">
  <autoFilter ref="A1:T81" xr:uid="{8A93AC68-F7D4-4E87-896E-FC0ED91DA01D}"/>
  <sortState xmlns:xlrd2="http://schemas.microsoft.com/office/spreadsheetml/2017/richdata2" ref="A2:T2">
    <sortCondition ref="M1:M2"/>
  </sortState>
  <tableColumns count="20">
    <tableColumn id="1" xr3:uid="{F93C5AE0-D64D-4F22-B111-19832CEBAB74}" name="loading date"/>
    <tableColumn id="2" xr3:uid="{275E1EA0-B1EF-421B-BBC9-1CDD0F08AD15}" name="offloading DATE"/>
    <tableColumn id="3" xr3:uid="{5A3397A3-3554-4198-8F44-DC05ABBFC41D}" name=" TRUCK REG"/>
    <tableColumn id="4" xr3:uid="{E3F58DE7-A448-48E4-AABF-0D50C1785403}" name=" Driver "/>
    <tableColumn id="5" xr3:uid="{031A9BE0-5B0C-459E-A903-2F6DACFC3E45}" name="From/To"/>
    <tableColumn id="6" xr3:uid="{32E4D83C-1117-45B4-9AF5-A53A5CD43E65}" name="ORDER NUMBER"/>
    <tableColumn id="7" xr3:uid="{BC7A8FDE-1590-4688-9E6B-7E92D86EE8E2}" name="Delivery number"/>
    <tableColumn id="8" xr3:uid="{4028C155-C702-4681-89E3-6F43F746C478}" name="LOADED LITRES"/>
    <tableColumn id="9" xr3:uid="{CA5ECF3F-660C-426C-9B1A-D308863783E1}" name="Offloading Litres"/>
    <tableColumn id="10" xr3:uid="{B30B4CA8-E528-4FC9-ACE5-35D05610FE20}" name=" (LOSS) / GAIN" dataDxfId="98">
      <calculatedColumnFormula>Table13456789101112132345[[#This Row],[Offloading Litres]]-Table13456789101112132345[[#This Row],[LOADED LITRES]]</calculatedColumnFormula>
    </tableColumn>
    <tableColumn id="11" xr3:uid="{9BF8A00B-D072-4672-9383-E8B6046147EA}" name=" Product "/>
    <tableColumn id="12" xr3:uid="{97F75379-F1CA-4052-8597-1A15987FF8AC}" name="Shipment number"/>
    <tableColumn id="13" xr3:uid="{CB5AC59F-9463-48BD-9E7E-908AC0B16B87}" name=" Invoice Number "/>
    <tableColumn id="14" xr3:uid="{DC4EC70B-4941-4F9E-935F-A287FA37A630}" name="Rate"/>
    <tableColumn id="15" xr3:uid="{CD6B0C72-2167-4562-83F4-30A7165B9610}" name="Amount" dataDxfId="97">
      <calculatedColumnFormula>Table13456789101112132345[[#This Row],[Offloading Litres]]*Table13456789101112132345[[#This Row],[Rate]]</calculatedColumnFormula>
    </tableColumn>
    <tableColumn id="16" xr3:uid="{4BE38AA3-08BD-4A8F-A87E-14F99A0199CF}" name="WAYBILL"/>
    <tableColumn id="20" xr3:uid="{1172EC5A-0B65-4B8E-9600-5B6227C0BF60}" name="mystic"/>
    <tableColumn id="17" xr3:uid="{F98CBB81-C8A1-418B-8F3F-32037D5E3B61}" name="FILE NO."/>
    <tableColumn id="19" xr3:uid="{C29D3936-FF43-43E3-B092-AE02DD6B100E}" name="mystic2"/>
    <tableColumn id="18" xr3:uid="{58FAB8BC-8D15-496A-909A-B3954B05B18E}" name="REMARKS"/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0029F4-BF4F-42A5-91C5-A1B872EACB09}" name="Table134567891011121323456" displayName="Table134567891011121323456" ref="A1:T80" totalsRowShown="0" headerRowDxfId="96" headerRowBorderDxfId="95">
  <autoFilter ref="A1:T80" xr:uid="{9F0029F4-BF4F-42A5-91C5-A1B872EACB09}"/>
  <sortState xmlns:xlrd2="http://schemas.microsoft.com/office/spreadsheetml/2017/richdata2" ref="A2:T2">
    <sortCondition ref="M1:M2"/>
  </sortState>
  <tableColumns count="20">
    <tableColumn id="1" xr3:uid="{05A07D74-7BB9-4361-BFC7-EB90063CE316}" name="loading date"/>
    <tableColumn id="2" xr3:uid="{00C162A4-2D60-48DF-A6C7-759EF7C78778}" name="offloading DATE"/>
    <tableColumn id="3" xr3:uid="{76328E96-5BF9-4A2B-BB9A-EA914D84EDA3}" name=" TRUCK REG"/>
    <tableColumn id="4" xr3:uid="{7FB0D9DF-D5CB-4E0E-9EF8-6AA499035C96}" name=" Driver "/>
    <tableColumn id="5" xr3:uid="{F32DFDE4-0F06-444D-8837-7D5D1D6C606E}" name="From/To"/>
    <tableColumn id="6" xr3:uid="{155544B3-A744-4930-BE2C-6A9762624A3E}" name="ORDER NUMBER"/>
    <tableColumn id="7" xr3:uid="{727BE04E-663E-4B91-AF5D-C7AAAACC6306}" name="Delivery number"/>
    <tableColumn id="8" xr3:uid="{2C2EFD84-EE07-4B34-BEA3-0CB84B189925}" name="LOADED LITRES"/>
    <tableColumn id="9" xr3:uid="{E9165BD8-917C-4A01-BE8B-BB60F26B38DC}" name="Offloading Litres"/>
    <tableColumn id="10" xr3:uid="{358EDB9C-1CB4-4201-A2F8-0171064D5405}" name=" (LOSS) / GAIN" dataDxfId="94">
      <calculatedColumnFormula>Table134567891011121323456[[#This Row],[Offloading Litres]]-Table134567891011121323456[[#This Row],[LOADED LITRES]]</calculatedColumnFormula>
    </tableColumn>
    <tableColumn id="11" xr3:uid="{CEA7F254-3483-4AEF-B6F8-A897414EE44A}" name=" Product "/>
    <tableColumn id="12" xr3:uid="{288E3280-8D63-4FA7-97AA-DAF1A71E6491}" name="Shipment number"/>
    <tableColumn id="13" xr3:uid="{4E063A08-A411-48DD-BB57-9221E3426C5C}" name=" Invoice Number "/>
    <tableColumn id="14" xr3:uid="{BD65B5FA-24BA-4AD6-97AC-53F664B1A80A}" name="Rate"/>
    <tableColumn id="15" xr3:uid="{1CC51A69-2BAE-45BE-9AF9-0F0891787862}" name="Amount" dataDxfId="93">
      <calculatedColumnFormula>Table134567891011121323456[[#This Row],[Offloading Litres]]*Table134567891011121323456[[#This Row],[Rate]]</calculatedColumnFormula>
    </tableColumn>
    <tableColumn id="16" xr3:uid="{78A12E0B-1D93-42E5-B0FB-DF3C1340C0AA}" name="WAYBILL"/>
    <tableColumn id="20" xr3:uid="{F5844201-7DE5-47A9-BBA3-198640935C5B}" name="mystic"/>
    <tableColumn id="17" xr3:uid="{29281D52-4A25-44C2-8739-0BF6A39D29E2}" name="FILE NO."/>
    <tableColumn id="19" xr3:uid="{2D3C888A-6A47-4A3F-9160-A1A0F79E1C1A}" name="mystic2"/>
    <tableColumn id="18" xr3:uid="{17A71900-2180-480A-892D-49A375FA33AC}" name="REMARKS"/>
  </tableColumns>
  <tableStyleInfo name="TableStyleMedium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B4865F5-754D-443A-AF0D-0F285B5D50AB}" name="Table1345678910111213234567" displayName="Table1345678910111213234567" ref="A1:T39" totalsRowShown="0" headerRowDxfId="92" headerRowBorderDxfId="91">
  <autoFilter ref="A1:T39" xr:uid="{3B4865F5-754D-443A-AF0D-0F285B5D50AB}">
    <filterColumn colId="2">
      <filters>
        <filter val="HTD141FS"/>
      </filters>
    </filterColumn>
  </autoFilter>
  <sortState xmlns:xlrd2="http://schemas.microsoft.com/office/spreadsheetml/2017/richdata2" ref="A2:T2">
    <sortCondition ref="M1:M2"/>
  </sortState>
  <tableColumns count="20">
    <tableColumn id="1" xr3:uid="{170F1832-44C3-4FDC-B3E1-E0FC3CBEB4ED}" name="loading date"/>
    <tableColumn id="2" xr3:uid="{E3867268-CCA2-414C-9FCA-BC5F4EC20DDD}" name="offloading DATE"/>
    <tableColumn id="3" xr3:uid="{46DD41C8-9962-4CD7-983E-6ADE97D47EF5}" name=" TRUCK REG"/>
    <tableColumn id="4" xr3:uid="{EBD2CBCF-C18A-4D6F-AC65-7AF4CA84B47B}" name=" Driver "/>
    <tableColumn id="5" xr3:uid="{0DBC2E70-CD20-42FD-B405-C21BEA40C210}" name="From/To"/>
    <tableColumn id="6" xr3:uid="{70514B70-5652-496A-B0E9-995F4E70BA20}" name="ORDER NUMBER"/>
    <tableColumn id="7" xr3:uid="{2AD6F3B3-C9BA-42DE-BE01-6C0CFD12F9DF}" name="Delivery number"/>
    <tableColumn id="8" xr3:uid="{E91F41BB-BFA6-49B7-953D-A9475A0151EF}" name="LOADED LITRES"/>
    <tableColumn id="9" xr3:uid="{F0F9D253-3A2A-4544-A234-6BA8C3C1FE39}" name="Offloading Litres"/>
    <tableColumn id="10" xr3:uid="{967150DE-A876-4B9E-8FAF-DEFEE7FB2CEB}" name=" (LOSS) / GAIN" dataDxfId="90">
      <calculatedColumnFormula>Table1345678910111213234567[[#This Row],[LOADED LITRES]]-Table1345678910111213234567[[#This Row],[Offloading Litres]]</calculatedColumnFormula>
    </tableColumn>
    <tableColumn id="11" xr3:uid="{82BEE734-120E-47B0-8448-E52B3908C105}" name=" Product "/>
    <tableColumn id="12" xr3:uid="{0E39B31C-4F9C-4B8F-A422-0FD30CC16C06}" name="Shipment number"/>
    <tableColumn id="13" xr3:uid="{41E8C099-2B27-44E7-B264-609C669C3C07}" name=" Invoice Number "/>
    <tableColumn id="14" xr3:uid="{71465E6C-AE2F-4911-8354-7A88C46B4899}" name="Rate"/>
    <tableColumn id="15" xr3:uid="{98D5E599-B090-449A-8A49-D6164E4598C8}" name="Amount" dataDxfId="89">
      <calculatedColumnFormula>Table1345678910111213234567[[#This Row],[LOADED LITRES]]*Table1345678910111213234567[[#This Row],[Rate]]</calculatedColumnFormula>
    </tableColumn>
    <tableColumn id="16" xr3:uid="{71EA9056-1CDD-4CD6-A4C6-FE81F7A5B519}" name="WAYBILL"/>
    <tableColumn id="20" xr3:uid="{A3D68800-1545-4D7B-9D29-522D16E1E910}" name="mystic"/>
    <tableColumn id="17" xr3:uid="{E6BD71E4-39C0-4045-B597-CE46882BB806}" name="FILE NO."/>
    <tableColumn id="19" xr3:uid="{5FE2326B-DB9E-445C-A4AE-81AD1DFC8C5C}" name="mystic2"/>
    <tableColumn id="18" xr3:uid="{C762EAF1-404E-44AB-9145-04E730BE4B40}" name="REMARKS"/>
  </tableColumns>
  <tableStyleInfo name="TableStyleMedium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263D773-632E-4519-A440-55D430419046}" name="Table13456789101112132345678" displayName="Table13456789101112132345678" ref="A1:T48" totalsRowShown="0" headerRowDxfId="88" headerRowBorderDxfId="87">
  <autoFilter ref="A1:T48" xr:uid="{A263D773-632E-4519-A440-55D430419046}">
    <filterColumn colId="2">
      <filters>
        <filter val="HTD141FS"/>
      </filters>
    </filterColumn>
  </autoFilter>
  <sortState xmlns:xlrd2="http://schemas.microsoft.com/office/spreadsheetml/2017/richdata2" ref="A2:T2">
    <sortCondition ref="M1:M2"/>
  </sortState>
  <tableColumns count="20">
    <tableColumn id="1" xr3:uid="{D37490B6-ECBA-49EF-99EE-25AFC9654600}" name="loading date"/>
    <tableColumn id="2" xr3:uid="{AA4DD999-FACA-4D28-83AC-7723D0263EA4}" name="offloading DATE"/>
    <tableColumn id="3" xr3:uid="{F3D79AFF-774C-4B4A-A63E-E305FBC6C3D4}" name=" TRUCK REG"/>
    <tableColumn id="4" xr3:uid="{82A523E0-D5F2-4DBC-B7DA-90E113B00BDE}" name=" Driver "/>
    <tableColumn id="5" xr3:uid="{69390DA5-4806-495C-ABE2-044E32F616B6}" name="From/To"/>
    <tableColumn id="6" xr3:uid="{127FD29F-BC92-43AC-A4EB-C583D09C3816}" name="ORDER NUMBER"/>
    <tableColumn id="7" xr3:uid="{4E6A0934-A51B-4EB5-9E72-FBAA9E5ECB88}" name="Delivery number"/>
    <tableColumn id="8" xr3:uid="{C1F704C9-76F6-4713-BE14-2034E8529B56}" name="LOADED LITRES"/>
    <tableColumn id="9" xr3:uid="{DB70021D-A1AF-4161-AF7C-F4A98ED44DCC}" name="Offloading Litres"/>
    <tableColumn id="10" xr3:uid="{CF75A67D-3068-4568-92ED-7C903161954D}" name=" (LOSS) / GAIN" dataDxfId="86">
      <calculatedColumnFormula>Table13456789101112132345678[[#This Row],[LOADED LITRES]]-Table13456789101112132345678[[#This Row],[Offloading Litres]]</calculatedColumnFormula>
    </tableColumn>
    <tableColumn id="11" xr3:uid="{16AEFA0A-4DD8-4580-AFE5-6B28A9BC3DF0}" name=" Product "/>
    <tableColumn id="12" xr3:uid="{42B6268B-E225-4A0B-A19A-0A911A416C91}" name="Shipment number"/>
    <tableColumn id="13" xr3:uid="{D3711703-B684-4070-9AED-DD4BA76A207E}" name=" Invoice Number "/>
    <tableColumn id="14" xr3:uid="{0C5DF258-20B3-469D-893B-63E68EF61CBB}" name="Rate"/>
    <tableColumn id="15" xr3:uid="{8F5839E4-AC72-4818-AB45-E5AF38E313F8}" name="Amount" dataDxfId="85">
      <calculatedColumnFormula>Table13456789101112132345678[[#This Row],[LOADED LITRES]]*Table13456789101112132345678[[#This Row],[Rate]]</calculatedColumnFormula>
    </tableColumn>
    <tableColumn id="16" xr3:uid="{4F635594-2BA8-4329-843E-A95D6208D0AE}" name="WAYBILL"/>
    <tableColumn id="20" xr3:uid="{DD0A1CBB-5B30-4DD3-928E-D4B4ACD13B84}" name="mystic"/>
    <tableColumn id="17" xr3:uid="{5F67560B-8B98-4D03-B551-17040332822E}" name="FILE NO."/>
    <tableColumn id="19" xr3:uid="{0BFE8877-AF56-40E0-BDCC-396F292CBECB}" name="mystic2"/>
    <tableColumn id="18" xr3:uid="{7AE29B23-1127-4B72-BED2-2B03A9CA9973}" name="REMARKS"/>
  </tableColumns>
  <tableStyleInfo name="TableStyleMedium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3173157-688C-4CD8-8391-98A4D36DE634}" name="Table134567891011121323456789" displayName="Table134567891011121323456789" ref="A1:T96" totalsRowShown="0" headerRowDxfId="84" headerRowBorderDxfId="83">
  <autoFilter ref="A1:T96" xr:uid="{A3173157-688C-4CD8-8391-98A4D36DE634}">
    <filterColumn colId="2">
      <filters>
        <filter val="JHC375FS"/>
      </filters>
    </filterColumn>
  </autoFilter>
  <sortState xmlns:xlrd2="http://schemas.microsoft.com/office/spreadsheetml/2017/richdata2" ref="A2:T2">
    <sortCondition ref="M1:M2"/>
  </sortState>
  <tableColumns count="20">
    <tableColumn id="1" xr3:uid="{FAA62272-C7CA-4B18-A4F0-41440D36B97A}" name="loading date"/>
    <tableColumn id="2" xr3:uid="{878F1BB3-E97F-4B8C-BC1B-77155EDA782C}" name="offloading DATE"/>
    <tableColumn id="3" xr3:uid="{6AB9391C-37D8-4156-AB15-FA8706C14F6A}" name=" TRUCK REG"/>
    <tableColumn id="4" xr3:uid="{D2677851-5AD1-44F8-A736-EAF93023269A}" name=" Driver "/>
    <tableColumn id="5" xr3:uid="{4D65663C-4B6B-48A3-8EF7-D563AE248413}" name="From/To"/>
    <tableColumn id="6" xr3:uid="{7FFD0EDA-061D-40A6-A24B-3371678FC802}" name="ORDER NUMBER"/>
    <tableColumn id="7" xr3:uid="{015EB481-F98E-4F84-9D76-28D85F5B000C}" name="Delivery number"/>
    <tableColumn id="8" xr3:uid="{6DB6A0A3-7C2E-4454-B557-7E2C5D52BD90}" name="LOADED LITRES"/>
    <tableColumn id="9" xr3:uid="{6A9C52BD-11A2-4F7A-BAE8-4A4D74CA3EDD}" name="Offloading Litres"/>
    <tableColumn id="10" xr3:uid="{267C0D6E-A6E8-4294-9343-0F171EC08753}" name=" (LOSS) / GAIN" dataDxfId="82">
      <calculatedColumnFormula>Table134567891011121323456789[[#This Row],[LOADED LITRES]]-Table134567891011121323456789[[#This Row],[Offloading Litres]]</calculatedColumnFormula>
    </tableColumn>
    <tableColumn id="11" xr3:uid="{81A948FD-68CE-4320-B05B-B892E8B438AB}" name=" Product "/>
    <tableColumn id="12" xr3:uid="{A1B02B8F-B489-450C-978A-7AF46BFAE17D}" name="Shipment number"/>
    <tableColumn id="13" xr3:uid="{38E22591-A71F-49DC-ABA8-578DBB86CF8E}" name=" Invoice Number "/>
    <tableColumn id="14" xr3:uid="{54EF5975-BB11-4CAF-A702-3A22CBE85CFD}" name="Rate"/>
    <tableColumn id="15" xr3:uid="{D717C552-83D4-4962-8DB6-E03918EEBF81}" name="Amount" dataDxfId="81">
      <calculatedColumnFormula>Table134567891011121323456789[[#This Row],[Offloading Litres]]*Table134567891011121323456789[[#This Row],[Rate]]</calculatedColumnFormula>
    </tableColumn>
    <tableColumn id="16" xr3:uid="{B3549279-A20D-48A5-98EA-79A4188317FB}" name="WAYBILL"/>
    <tableColumn id="20" xr3:uid="{F851776D-E80F-446F-90BB-F0696DA19A53}" name="mystic"/>
    <tableColumn id="17" xr3:uid="{0D6296FD-1A23-481B-8E09-B36235D9D138}" name="FILE NO."/>
    <tableColumn id="19" xr3:uid="{C02C1804-B10D-42C9-BB0A-452580571295}" name="mystic2"/>
    <tableColumn id="18" xr3:uid="{A746A862-D11E-49D3-AD01-71A9822EC3A2}" name="REMARKS"/>
  </tableColumns>
  <tableStyleInfo name="TableStyleMedium1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62E76E4-3628-4E41-A1FF-269498488988}" name="Table13456789101112132345678910" displayName="Table13456789101112132345678910" ref="A1:T126" totalsRowShown="0" headerRowDxfId="80" headerRowBorderDxfId="79">
  <autoFilter ref="A1:T126" xr:uid="{062E76E4-3628-4E41-A1FF-269498488988}"/>
  <sortState xmlns:xlrd2="http://schemas.microsoft.com/office/spreadsheetml/2017/richdata2" ref="A2:T126">
    <sortCondition ref="A1:A126"/>
  </sortState>
  <tableColumns count="20">
    <tableColumn id="1" xr3:uid="{D8599E5D-4E57-4EBE-9265-60D1B51A3F8E}" name="loading date"/>
    <tableColumn id="2" xr3:uid="{FFD86C9E-1B01-4818-982E-9FD60EB9F044}" name="offloading DATE"/>
    <tableColumn id="3" xr3:uid="{66219D0E-DDD5-466E-AB6C-5D5273EB5BFC}" name=" TRUCK REG"/>
    <tableColumn id="4" xr3:uid="{89B0044F-CAD4-4240-BE2D-31E7F913D818}" name=" Driver "/>
    <tableColumn id="5" xr3:uid="{5A7A0959-464F-47C2-8310-85BECF3B95EF}" name="From/To"/>
    <tableColumn id="6" xr3:uid="{A2FDA470-E698-4C54-8C97-CE68682E5695}" name="ORDER NUMBER"/>
    <tableColumn id="7" xr3:uid="{AEB0F27F-78FE-4C2A-8D0E-13CDCEF3593B}" name="Delivery number"/>
    <tableColumn id="8" xr3:uid="{0385C0BB-053D-4AB2-9C43-89BC8F51089F}" name="LOADED LITRES"/>
    <tableColumn id="9" xr3:uid="{FE5CCAA1-B332-4051-84CB-D23AFAC13776}" name="Offloading Litres"/>
    <tableColumn id="10" xr3:uid="{DBC71A74-C5DB-4579-97CE-8EAD3AACED3D}" name=" (LOSS) / GAIN" dataDxfId="78">
      <calculatedColumnFormula>Table13456789101112132345678910[[#This Row],[LOADED LITRES]]-Table13456789101112132345678910[[#This Row],[Offloading Litres]]</calculatedColumnFormula>
    </tableColumn>
    <tableColumn id="11" xr3:uid="{D6AE066F-B3D6-4623-B908-2752B55198A6}" name=" Product "/>
    <tableColumn id="12" xr3:uid="{8FAFF0E7-F11F-4E92-A606-B99B2720D84F}" name="Shipment number"/>
    <tableColumn id="13" xr3:uid="{CDBFD276-037C-4D21-A75F-F8D2D0CD5F5D}" name=" Invoice Number "/>
    <tableColumn id="14" xr3:uid="{2707815C-1E41-43EA-8B8B-F124DF9FB11D}" name="Rate"/>
    <tableColumn id="15" xr3:uid="{87539431-7062-4E2D-925D-C0158D728806}" name="Amount" dataDxfId="77">
      <calculatedColumnFormula>Table13456789101112132345678910[[#This Row],[Offloading Litres]]*Table13456789101112132345678910[[#This Row],[Rate]]</calculatedColumnFormula>
    </tableColumn>
    <tableColumn id="16" xr3:uid="{55A176D2-0F6B-4584-9644-31BA8C51AB87}" name="WAYBILL"/>
    <tableColumn id="20" xr3:uid="{2E8FE1E2-E99E-4C52-A5B5-681F4F767876}" name="mystic"/>
    <tableColumn id="17" xr3:uid="{713C468D-3E9F-4BA9-BC22-3CC64EC3FD04}" name="FILE NO."/>
    <tableColumn id="19" xr3:uid="{E33B44B2-50F9-49EA-95E7-D8D5BAB85DC6}" name="mystic2"/>
    <tableColumn id="18" xr3:uid="{E5E1D10B-67A3-4AE1-93B4-BF32FC75AA16}" name="REMARKS"/>
  </tableColumns>
  <tableStyleInfo name="TableStyleMedium1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896983F-98E0-455D-9B28-67845798F2FB}" name="Table1345678910111213234567891011" displayName="Table1345678910111213234567891011" ref="A1:T144" totalsRowShown="0" headerRowDxfId="76" headerRowBorderDxfId="75">
  <autoFilter ref="A1:T144" xr:uid="{A896983F-98E0-455D-9B28-67845798F2FB}"/>
  <sortState xmlns:xlrd2="http://schemas.microsoft.com/office/spreadsheetml/2017/richdata2" ref="A2:T117">
    <sortCondition ref="M1:M117"/>
  </sortState>
  <tableColumns count="20">
    <tableColumn id="1" xr3:uid="{759CE6BE-F8CF-40E2-A749-BAF31228F90E}" name="loading date"/>
    <tableColumn id="2" xr3:uid="{DB3ED37E-AF29-4D38-8AB5-DABADB5BD33E}" name="offloading DATE"/>
    <tableColumn id="3" xr3:uid="{1F50C368-2C26-427D-A5E7-A4B4899B580A}" name=" TRUCK REG"/>
    <tableColumn id="4" xr3:uid="{949F7F39-69BC-4CB3-B8A9-846F73BC9FFE}" name=" Driver "/>
    <tableColumn id="5" xr3:uid="{65DBD45B-2073-4B04-98C2-2978E51ACF00}" name="From/To"/>
    <tableColumn id="6" xr3:uid="{89901B6F-CF3B-4570-9A29-84E3E68630E4}" name="ORDER NUMBER"/>
    <tableColumn id="7" xr3:uid="{4726FD81-1C8E-4803-8380-A154B14E6660}" name="Delivery number"/>
    <tableColumn id="8" xr3:uid="{90E26FC5-03B7-4F5C-8CAA-558C3852608B}" name="LOADED LITRES"/>
    <tableColumn id="9" xr3:uid="{8DA97AD8-089F-4D3E-8DDC-11430E7D73DC}" name="Offloading Litres"/>
    <tableColumn id="10" xr3:uid="{9ACD6DB7-820F-49F7-ABD3-6900E7E229A4}" name=" (LOSS) / GAIN" dataDxfId="74">
      <calculatedColumnFormula>Table1345678910111213234567891011[[#This Row],[LOADED LITRES]]-Table1345678910111213234567891011[[#This Row],[Offloading Litres]]</calculatedColumnFormula>
    </tableColumn>
    <tableColumn id="11" xr3:uid="{A357C2FC-A87E-44CC-9DD6-8851D9BCB8BF}" name=" Product "/>
    <tableColumn id="12" xr3:uid="{41637746-6DD6-40F0-891B-5F2738F58FDA}" name="Shipment number"/>
    <tableColumn id="13" xr3:uid="{A4AC91CB-0BBF-4052-B2EF-74ACE0AB9A20}" name=" Invoice Number "/>
    <tableColumn id="14" xr3:uid="{97A50AC1-D453-4C59-A201-5FD2FBCC14AB}" name="Rate"/>
    <tableColumn id="15" xr3:uid="{75064F45-430E-4B04-AE4A-951D7898FA95}" name="Amount" dataDxfId="73">
      <calculatedColumnFormula>Table1345678910111213234567891011[[#This Row],[Offloading Litres]]*Table1345678910111213234567891011[[#This Row],[Rate]]</calculatedColumnFormula>
    </tableColumn>
    <tableColumn id="16" xr3:uid="{A37E8FB3-017F-48DC-8810-525668131DC5}" name="WAYBILL"/>
    <tableColumn id="20" xr3:uid="{90810E3D-35FE-44EF-80F2-493ADBB434E5}" name="mystic"/>
    <tableColumn id="17" xr3:uid="{1FA46CE9-9349-4382-BA0E-7827DCA0E334}" name="FILE NO."/>
    <tableColumn id="19" xr3:uid="{AC3E5401-1B8D-40D8-BAB6-B6F0D19C1970}" name="mystic2"/>
    <tableColumn id="18" xr3:uid="{8984DDD8-8149-40FA-A507-4E18553BB3A1}" name="REMARKS"/>
  </tableColumns>
  <tableStyleInfo name="TableStyleMedium1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6BD76C3-062F-4E93-9BD0-D62A92437545}" name="Table134567891011121323456789101112" displayName="Table134567891011121323456789101112" ref="A1:T104" totalsRowShown="0" headerRowDxfId="72" dataDxfId="70" headerRowBorderDxfId="71">
  <autoFilter ref="A1:T104" xr:uid="{46BD76C3-062F-4E93-9BD0-D62A92437545}"/>
  <sortState xmlns:xlrd2="http://schemas.microsoft.com/office/spreadsheetml/2017/richdata2" ref="A18:T103">
    <sortCondition ref="A1:A104"/>
  </sortState>
  <tableColumns count="20">
    <tableColumn id="1" xr3:uid="{9E5B5E02-D880-49BA-BF80-63EB47448034}" name="loading date" dataDxfId="69"/>
    <tableColumn id="2" xr3:uid="{9E9738C5-58DE-44A3-BA04-67C29BDCAAD5}" name="offloading DATE" dataDxfId="68"/>
    <tableColumn id="3" xr3:uid="{8FCDE551-3C76-4C32-A390-1DFD79C6A0FB}" name=" TRUCK REG" dataDxfId="67"/>
    <tableColumn id="4" xr3:uid="{A7F74D82-C6CC-49F4-9B91-CEDF6670EBD9}" name=" Driver " dataDxfId="66"/>
    <tableColumn id="5" xr3:uid="{D7DEF0F3-FA39-44B6-98AD-611D0618E018}" name="From/To" dataDxfId="65"/>
    <tableColumn id="6" xr3:uid="{B3C4FFF1-C549-4050-BDEE-4F3903E1ED8D}" name="ORDER NUMBER" dataDxfId="64"/>
    <tableColumn id="7" xr3:uid="{6E94A058-480F-4179-958F-48F5C49F9B6C}" name="Delivery number" dataDxfId="63"/>
    <tableColumn id="8" xr3:uid="{6680A3C5-CACA-43DE-9697-3BE106E94DC1}" name="LOADED LITRES" dataDxfId="62"/>
    <tableColumn id="9" xr3:uid="{1B1B1632-5647-4181-AE66-110B7F69393A}" name="Offloading Litres" dataDxfId="61"/>
    <tableColumn id="10" xr3:uid="{032481F7-AC81-4BAD-B4E7-A6630A4482AC}" name=" (LOSS) / GAIN" dataDxfId="60">
      <calculatedColumnFormula>Table134567891011121323456789101112[[#This Row],[LOADED LITRES]]-Table134567891011121323456789101112[[#This Row],[Offloading Litres]]</calculatedColumnFormula>
    </tableColumn>
    <tableColumn id="11" xr3:uid="{581BB639-D589-4F1C-A4F9-F285E50E26EE}" name=" Product " dataDxfId="59"/>
    <tableColumn id="12" xr3:uid="{F6A401D2-D249-4D39-9167-7E73F08B030E}" name="Shipment number" dataDxfId="58"/>
    <tableColumn id="13" xr3:uid="{5885B209-A5BF-46D6-906B-C9540C745C00}" name=" Invoice Number " dataDxfId="57"/>
    <tableColumn id="14" xr3:uid="{ADD1A297-8D1D-4936-AD41-CCEEA47014EB}" name="Rate" dataDxfId="56"/>
    <tableColumn id="15" xr3:uid="{B98EE42E-547D-4055-A367-D2BCA6A13BCB}" name="Amount" dataDxfId="55">
      <calculatedColumnFormula>Table134567891011121323456789101112[[#This Row],[Offloading Litres]]*Table134567891011121323456789101112[[#This Row],[Rate]]</calculatedColumnFormula>
    </tableColumn>
    <tableColumn id="16" xr3:uid="{D209E738-E52A-4078-953B-BC963486F63E}" name="WAYBILL" dataDxfId="54"/>
    <tableColumn id="20" xr3:uid="{6422A4F8-9F38-4494-AFC3-B4221DAB4EBC}" name="mystic" dataDxfId="53"/>
    <tableColumn id="17" xr3:uid="{77656B12-848D-44AF-9F1A-8349A7E1CEB9}" name="FILE NO." dataDxfId="52"/>
    <tableColumn id="19" xr3:uid="{B9B6906A-D8FE-475E-B16D-0AAE645CE7AB}" name="mystic2" dataDxfId="51"/>
    <tableColumn id="18" xr3:uid="{9FCF7B69-6BF4-4EE3-BE2B-6980B9A93370}" name="REMARKS" dataDxfId="50"/>
  </tableColumns>
  <tableStyleInfo name="TableStyleMedium1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129C86A-2829-444B-9DB5-2CD5DFC7B2B1}" name="Table13456789101112132345678910111213" displayName="Table13456789101112132345678910111213" ref="A1:Q81" totalsRowShown="0" headerRowDxfId="49" dataDxfId="47" headerRowBorderDxfId="48">
  <autoFilter ref="A1:Q81" xr:uid="{B129C86A-2829-444B-9DB5-2CD5DFC7B2B1}"/>
  <sortState xmlns:xlrd2="http://schemas.microsoft.com/office/spreadsheetml/2017/richdata2" ref="A2:Q81">
    <sortCondition ref="A1:A81"/>
  </sortState>
  <tableColumns count="17">
    <tableColumn id="1" xr3:uid="{10AB4947-8FA6-4102-9F2D-6CBE6FE9F113}" name="loading date" dataDxfId="46"/>
    <tableColumn id="12" xr3:uid="{1995DCF6-49FD-40E3-BBEC-3DBACA1A406D}" name="LOADING POINT" dataDxfId="39"/>
    <tableColumn id="3" xr3:uid="{89297F7B-B148-4197-968C-802DD7B5AF68}" name=" TRUCK REG" dataDxfId="45"/>
    <tableColumn id="13" xr3:uid="{5398FB67-23D4-42EC-A4E2-7D67FD07E92D}" name="TRAILER REG"/>
    <tableColumn id="4" xr3:uid="{40760C4A-A3CD-4A59-B4D3-9945C47F67FF}" name=" Driver " dataDxfId="44"/>
    <tableColumn id="14" xr3:uid="{0AE2B45C-5AA6-460A-B4CE-34ECF7D3FDFA}" name="CUSTOMER"/>
    <tableColumn id="6" xr3:uid="{35AA7305-E234-466D-9B8F-07683228493B}" name="ORDER NUMBER" dataDxfId="38"/>
    <tableColumn id="11" xr3:uid="{7947A979-3D9A-4FF9-8EB3-4F14EB08B1C0}" name=" Product " dataDxfId="37"/>
    <tableColumn id="8" xr3:uid="{B0BE75AE-3748-4212-BC5E-22880434E73D}" name="LOADED LITRES" dataDxfId="36"/>
    <tableColumn id="15" xr3:uid="{A2BA29CD-AD99-4626-87D2-DAE4DE05DA36}" name="STATUS"/>
    <tableColumn id="17" xr3:uid="{DE5ABF7F-2451-4A96-993C-B0EC0DF705D6}" name="POSITION"/>
    <tableColumn id="5" xr3:uid="{426EEB3E-6EF1-4C55-A5C2-A648BC0BB300}" name="OFFLOADING POINT" dataDxfId="43"/>
    <tableColumn id="2" xr3:uid="{98FA0D97-F3D4-4CB1-91FE-E3F394C75A69}" name="offloading DATE" dataDxfId="40"/>
    <tableColumn id="9" xr3:uid="{55560A22-0CC4-42D0-82E7-C634E0B584E7}" name="Offloading Litres" dataDxfId="42"/>
    <tableColumn id="16" xr3:uid="{FCDFFA13-2874-412B-B0BE-1D8EB43DD8C3}" name="WAYBILL" dataDxfId="35"/>
    <tableColumn id="18" xr3:uid="{23255CB8-C274-4C15-81BC-A3B1B67676A0}" name="ETA"/>
    <tableColumn id="10" xr3:uid="{166BA977-E5E2-44DE-B766-170B59F328A4}" name=" (LOSS) / GAIN" dataDxfId="41">
      <calculatedColumnFormula>Table13456789101112132345678910111213[[#This Row],[LOADED LITRES]]-Table13456789101112132345678910111213[[#This Row],[Offloading Litres]]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81B89-3D87-4E50-8953-476D35DA7555}">
  <dimension ref="A1:T95"/>
  <sheetViews>
    <sheetView topLeftCell="B65" workbookViewId="0">
      <selection activeCell="E86" sqref="E86"/>
    </sheetView>
  </sheetViews>
  <sheetFormatPr defaultRowHeight="14.4" x14ac:dyDescent="0.3"/>
  <cols>
    <col min="1" max="2" width="13.33203125" customWidth="1"/>
    <col min="3" max="3" width="9.88671875" customWidth="1"/>
    <col min="4" max="4" width="20.33203125" customWidth="1"/>
    <col min="5" max="5" width="22.88671875" customWidth="1"/>
    <col min="6" max="9" width="13.33203125" customWidth="1"/>
    <col min="10" max="10" width="9" customWidth="1"/>
    <col min="11" max="11" width="8.33203125" customWidth="1"/>
    <col min="12" max="12" width="10.44140625" customWidth="1"/>
    <col min="13" max="13" width="13.5546875" customWidth="1"/>
    <col min="14" max="14" width="9.44140625" customWidth="1"/>
    <col min="15" max="15" width="10.109375" style="8" customWidth="1"/>
    <col min="16" max="16" width="14.6640625" customWidth="1"/>
    <col min="17" max="17" width="10.6640625" customWidth="1"/>
    <col min="18" max="18" width="14.6640625" customWidth="1"/>
    <col min="19" max="19" width="9.33203125" customWidth="1"/>
  </cols>
  <sheetData>
    <row r="1" spans="1:20" ht="15.6" thickBot="1" x14ac:dyDescent="0.35">
      <c r="A1" s="1" t="s">
        <v>0</v>
      </c>
      <c r="B1" s="1" t="s">
        <v>1</v>
      </c>
      <c r="C1" s="2" t="s">
        <v>38</v>
      </c>
      <c r="D1" s="2" t="s">
        <v>2</v>
      </c>
      <c r="E1" s="2" t="s">
        <v>3</v>
      </c>
      <c r="F1" s="2" t="s">
        <v>37</v>
      </c>
      <c r="G1" s="2" t="s">
        <v>4</v>
      </c>
      <c r="H1" s="2" t="s">
        <v>36</v>
      </c>
      <c r="I1" s="2" t="s">
        <v>5</v>
      </c>
      <c r="J1" s="2" t="s">
        <v>6</v>
      </c>
      <c r="K1" s="2" t="s">
        <v>7</v>
      </c>
      <c r="L1" s="3" t="s">
        <v>8</v>
      </c>
      <c r="M1" s="2" t="s">
        <v>9</v>
      </c>
      <c r="N1" s="2" t="s">
        <v>10</v>
      </c>
      <c r="O1" s="4" t="s">
        <v>11</v>
      </c>
      <c r="P1" s="5" t="s">
        <v>12</v>
      </c>
      <c r="Q1" s="5" t="s">
        <v>18</v>
      </c>
      <c r="R1" s="2" t="s">
        <v>13</v>
      </c>
      <c r="S1" s="6" t="s">
        <v>20</v>
      </c>
      <c r="T1" s="6" t="s">
        <v>14</v>
      </c>
    </row>
    <row r="2" spans="1:20" ht="15" thickTop="1" x14ac:dyDescent="0.3">
      <c r="A2" s="7">
        <v>45660</v>
      </c>
      <c r="B2" s="7">
        <v>45661</v>
      </c>
      <c r="C2" t="s">
        <v>22</v>
      </c>
      <c r="D2" t="s">
        <v>26</v>
      </c>
      <c r="E2" t="s">
        <v>16</v>
      </c>
      <c r="F2" s="10" t="s">
        <v>67</v>
      </c>
      <c r="G2">
        <v>802149505</v>
      </c>
      <c r="H2">
        <v>39591</v>
      </c>
      <c r="I2">
        <v>39951</v>
      </c>
      <c r="J2">
        <f>Table13456789101112132[[#This Row],[Offloading Litres]]-Table13456789101112132[[#This Row],[LOADED LITRES]]</f>
        <v>360</v>
      </c>
      <c r="K2" t="s">
        <v>32</v>
      </c>
      <c r="L2">
        <v>75164070</v>
      </c>
      <c r="M2" t="s">
        <v>113</v>
      </c>
      <c r="N2">
        <v>0.68110000000000004</v>
      </c>
      <c r="O2" s="8">
        <f>Table13456789101112132[[#This Row],[Offloading Litres]]*Table13456789101112132[[#This Row],[Rate]]</f>
        <v>27210.626100000001</v>
      </c>
      <c r="P2" s="9" t="s">
        <v>50</v>
      </c>
      <c r="Q2" t="s">
        <v>489</v>
      </c>
    </row>
    <row r="3" spans="1:20" x14ac:dyDescent="0.3">
      <c r="A3" s="11">
        <v>45686</v>
      </c>
      <c r="B3" s="11">
        <v>45687</v>
      </c>
      <c r="C3" s="12" t="s">
        <v>22</v>
      </c>
      <c r="D3" s="12" t="s">
        <v>26</v>
      </c>
      <c r="E3" s="12" t="s">
        <v>185</v>
      </c>
      <c r="F3" s="12">
        <v>422483034</v>
      </c>
      <c r="G3" s="12">
        <v>802247305</v>
      </c>
      <c r="H3" s="12">
        <v>39639</v>
      </c>
      <c r="I3" s="12">
        <v>39994</v>
      </c>
      <c r="J3" s="12">
        <f>Table13456789101112132[[#This Row],[Offloading Litres]]-Table13456789101112132[[#This Row],[LOADED LITRES]]</f>
        <v>355</v>
      </c>
      <c r="K3" s="12" t="s">
        <v>32</v>
      </c>
      <c r="L3" s="12">
        <v>75268371</v>
      </c>
      <c r="M3" s="12" t="s">
        <v>228</v>
      </c>
      <c r="N3" s="12">
        <v>0.74</v>
      </c>
      <c r="O3" s="13">
        <f>Table13456789101112132[[#This Row],[Offloading Litres]]*Table13456789101112132[[#This Row],[Rate]]</f>
        <v>29595.56</v>
      </c>
      <c r="P3" s="14" t="s">
        <v>189</v>
      </c>
      <c r="Q3" s="12" t="s">
        <v>281</v>
      </c>
      <c r="R3" s="12"/>
      <c r="S3" s="12"/>
      <c r="T3" s="12"/>
    </row>
    <row r="4" spans="1:20" x14ac:dyDescent="0.3">
      <c r="A4" s="7">
        <v>45666</v>
      </c>
      <c r="B4" s="7">
        <v>45667</v>
      </c>
      <c r="C4" t="s">
        <v>23</v>
      </c>
      <c r="D4" t="s">
        <v>27</v>
      </c>
      <c r="E4" t="s">
        <v>16</v>
      </c>
      <c r="F4">
        <v>421505144</v>
      </c>
      <c r="G4">
        <v>802169444</v>
      </c>
      <c r="H4">
        <v>42912</v>
      </c>
      <c r="I4">
        <v>43437</v>
      </c>
      <c r="J4">
        <f>Table13456789101112132[[#This Row],[Offloading Litres]]-Table13456789101112132[[#This Row],[LOADED LITRES]]</f>
        <v>525</v>
      </c>
      <c r="K4" t="s">
        <v>25</v>
      </c>
      <c r="L4">
        <v>75186185</v>
      </c>
      <c r="M4" t="s">
        <v>127</v>
      </c>
      <c r="N4">
        <v>0.68110000000000004</v>
      </c>
      <c r="O4" s="8">
        <f>Table13456789101112132[[#This Row],[Offloading Litres]]*Table13456789101112132[[#This Row],[Rate]]</f>
        <v>29584.940700000003</v>
      </c>
      <c r="P4" s="9" t="s">
        <v>64</v>
      </c>
      <c r="Q4" t="s">
        <v>509</v>
      </c>
    </row>
    <row r="5" spans="1:20" x14ac:dyDescent="0.3">
      <c r="A5" s="7">
        <v>45669</v>
      </c>
      <c r="B5" s="7">
        <v>45671</v>
      </c>
      <c r="C5" t="s">
        <v>23</v>
      </c>
      <c r="D5" t="s">
        <v>27</v>
      </c>
      <c r="E5" t="s">
        <v>16</v>
      </c>
      <c r="F5">
        <v>421505171</v>
      </c>
      <c r="G5">
        <v>802177548</v>
      </c>
      <c r="H5">
        <v>43810</v>
      </c>
      <c r="I5">
        <v>44144</v>
      </c>
      <c r="J5">
        <f>Table13456789101112132[[#This Row],[Offloading Litres]]-Table13456789101112132[[#This Row],[LOADED LITRES]]</f>
        <v>334</v>
      </c>
      <c r="K5" t="s">
        <v>25</v>
      </c>
      <c r="L5">
        <v>75195303</v>
      </c>
      <c r="M5" t="s">
        <v>135</v>
      </c>
      <c r="N5">
        <v>0.68110000000000004</v>
      </c>
      <c r="O5" s="8">
        <f>Table13456789101112132[[#This Row],[Offloading Litres]]*Table13456789101112132[[#This Row],[Rate]]</f>
        <v>30066.4784</v>
      </c>
      <c r="P5" s="9" t="s">
        <v>75</v>
      </c>
      <c r="Q5" t="s">
        <v>217</v>
      </c>
    </row>
    <row r="6" spans="1:20" x14ac:dyDescent="0.3">
      <c r="A6" s="7">
        <v>45671</v>
      </c>
      <c r="B6" s="7">
        <v>45673</v>
      </c>
      <c r="C6" t="s">
        <v>21</v>
      </c>
      <c r="D6" t="s">
        <v>27</v>
      </c>
      <c r="E6" t="s">
        <v>16</v>
      </c>
      <c r="F6">
        <v>421925318</v>
      </c>
      <c r="G6">
        <v>802187546</v>
      </c>
      <c r="H6">
        <v>39190</v>
      </c>
      <c r="I6">
        <v>39342</v>
      </c>
      <c r="J6">
        <f>Table13456789101112132[[#This Row],[Offloading Litres]]-Table13456789101112132[[#This Row],[LOADED LITRES]]</f>
        <v>152</v>
      </c>
      <c r="K6" t="s">
        <v>32</v>
      </c>
      <c r="L6">
        <v>75206027</v>
      </c>
      <c r="M6" s="15" t="s">
        <v>144</v>
      </c>
      <c r="N6">
        <v>0.68110000000000004</v>
      </c>
      <c r="O6" s="8">
        <f>Table13456789101112132[[#This Row],[Offloading Litres]]*Table13456789101112132[[#This Row],[Rate]]</f>
        <v>26795.836200000002</v>
      </c>
      <c r="P6" s="9" t="s">
        <v>81</v>
      </c>
      <c r="Q6" t="s">
        <v>615</v>
      </c>
    </row>
    <row r="7" spans="1:20" x14ac:dyDescent="0.3">
      <c r="A7" s="7">
        <v>45683</v>
      </c>
      <c r="B7" s="7">
        <v>45685</v>
      </c>
      <c r="C7" t="s">
        <v>21</v>
      </c>
      <c r="D7" t="s">
        <v>27</v>
      </c>
      <c r="E7" t="s">
        <v>16</v>
      </c>
      <c r="F7">
        <v>422162430</v>
      </c>
      <c r="G7">
        <v>802231329</v>
      </c>
      <c r="H7">
        <v>44277</v>
      </c>
      <c r="I7">
        <v>44783</v>
      </c>
      <c r="J7">
        <f>Table13456789101112132[[#This Row],[Offloading Litres]]-Table13456789101112132[[#This Row],[LOADED LITRES]]</f>
        <v>506</v>
      </c>
      <c r="K7" t="s">
        <v>25</v>
      </c>
      <c r="L7">
        <v>75252678</v>
      </c>
      <c r="M7" s="15" t="s">
        <v>181</v>
      </c>
      <c r="N7">
        <v>0.68220000000000003</v>
      </c>
      <c r="O7" s="8">
        <f>Table13456789101112132[[#This Row],[Offloading Litres]]*Table13456789101112132[[#This Row],[Rate]]</f>
        <v>30550.962600000003</v>
      </c>
      <c r="P7" s="9" t="s">
        <v>151</v>
      </c>
      <c r="Q7" t="s">
        <v>280</v>
      </c>
    </row>
    <row r="8" spans="1:20" x14ac:dyDescent="0.3">
      <c r="A8" s="11">
        <v>45687</v>
      </c>
      <c r="B8" s="11">
        <v>45688</v>
      </c>
      <c r="C8" s="12" t="s">
        <v>21</v>
      </c>
      <c r="D8" s="12" t="s">
        <v>27</v>
      </c>
      <c r="E8" s="12" t="s">
        <v>187</v>
      </c>
      <c r="F8" s="12">
        <v>422509497</v>
      </c>
      <c r="G8" s="12">
        <v>802247548</v>
      </c>
      <c r="H8" s="12">
        <v>43433</v>
      </c>
      <c r="I8" s="12">
        <v>43989</v>
      </c>
      <c r="J8" s="12">
        <f>Table13456789101112132[[#This Row],[Offloading Litres]]-Table13456789101112132[[#This Row],[LOADED LITRES]]</f>
        <v>556</v>
      </c>
      <c r="K8" s="12" t="s">
        <v>25</v>
      </c>
      <c r="L8" s="12">
        <v>75268486</v>
      </c>
      <c r="M8" s="12" t="s">
        <v>231</v>
      </c>
      <c r="N8" s="12">
        <v>0.75290000000000001</v>
      </c>
      <c r="O8" s="13">
        <f>Table13456789101112132[[#This Row],[Offloading Litres]]*Table13456789101112132[[#This Row],[Rate]]</f>
        <v>33119.318100000004</v>
      </c>
      <c r="P8" s="14" t="s">
        <v>65</v>
      </c>
      <c r="Q8" s="12"/>
      <c r="R8" s="12"/>
      <c r="S8" s="12"/>
      <c r="T8" s="12"/>
    </row>
    <row r="9" spans="1:20" x14ac:dyDescent="0.3">
      <c r="A9" s="7">
        <v>45674</v>
      </c>
      <c r="B9" s="7">
        <v>45674</v>
      </c>
      <c r="C9" t="s">
        <v>21</v>
      </c>
      <c r="D9" t="s">
        <v>27</v>
      </c>
      <c r="E9" t="s">
        <v>241</v>
      </c>
      <c r="F9">
        <v>422084768</v>
      </c>
      <c r="G9">
        <v>802197128</v>
      </c>
      <c r="H9">
        <v>41215</v>
      </c>
      <c r="I9">
        <v>41446</v>
      </c>
      <c r="J9">
        <f>Table13456789101112132[[#This Row],[Offloading Litres]]-Table13456789101112132[[#This Row],[LOADED LITRES]]</f>
        <v>231</v>
      </c>
      <c r="K9" t="s">
        <v>236</v>
      </c>
      <c r="L9" t="s">
        <v>242</v>
      </c>
      <c r="M9" t="s">
        <v>258</v>
      </c>
      <c r="N9">
        <v>0.5776</v>
      </c>
      <c r="O9" s="8">
        <f>Table13456789101112132[[#This Row],[Offloading Litres]]*Table13456789101112132[[#This Row],[Rate]]</f>
        <v>23939.209599999998</v>
      </c>
      <c r="P9" s="9" t="s">
        <v>257</v>
      </c>
      <c r="Q9" t="s">
        <v>516</v>
      </c>
    </row>
    <row r="10" spans="1:20" x14ac:dyDescent="0.3">
      <c r="A10" s="7">
        <v>45677</v>
      </c>
      <c r="B10" s="7">
        <v>45678</v>
      </c>
      <c r="C10" t="s">
        <v>21</v>
      </c>
      <c r="D10" t="s">
        <v>27</v>
      </c>
      <c r="E10" t="s">
        <v>248</v>
      </c>
      <c r="F10">
        <v>422122412</v>
      </c>
      <c r="G10">
        <v>802209704</v>
      </c>
      <c r="H10">
        <v>39340</v>
      </c>
      <c r="I10">
        <v>39829</v>
      </c>
      <c r="J10">
        <f>Table13456789101112132[[#This Row],[Offloading Litres]]-Table13456789101112132[[#This Row],[LOADED LITRES]]</f>
        <v>489</v>
      </c>
      <c r="K10" t="s">
        <v>236</v>
      </c>
      <c r="L10" s="17" t="s">
        <v>250</v>
      </c>
      <c r="M10" t="s">
        <v>261</v>
      </c>
      <c r="N10">
        <v>0.72289999999999999</v>
      </c>
      <c r="O10" s="8">
        <f>Table13456789101112132[[#This Row],[Offloading Litres]]*Table13456789101112132[[#This Row],[Rate]]</f>
        <v>28792.384099999999</v>
      </c>
      <c r="P10" s="9" t="s">
        <v>249</v>
      </c>
      <c r="Q10" t="s">
        <v>514</v>
      </c>
    </row>
    <row r="11" spans="1:20" x14ac:dyDescent="0.3">
      <c r="A11" s="7">
        <v>45680</v>
      </c>
      <c r="B11" s="7">
        <v>45682</v>
      </c>
      <c r="C11" t="s">
        <v>21</v>
      </c>
      <c r="D11" t="s">
        <v>27</v>
      </c>
      <c r="E11" t="s">
        <v>262</v>
      </c>
      <c r="F11" t="s">
        <v>251</v>
      </c>
      <c r="G11" t="s">
        <v>252</v>
      </c>
      <c r="H11">
        <v>39660</v>
      </c>
      <c r="I11">
        <v>40161</v>
      </c>
      <c r="J11">
        <f>Table13456789101112132[[#This Row],[Offloading Litres]]-Table13456789101112132[[#This Row],[LOADED LITRES]]</f>
        <v>501</v>
      </c>
      <c r="K11" t="s">
        <v>236</v>
      </c>
      <c r="L11" t="s">
        <v>253</v>
      </c>
      <c r="M11" t="s">
        <v>263</v>
      </c>
      <c r="N11">
        <v>0.72289999999999999</v>
      </c>
      <c r="O11" s="8">
        <f>Table13456789101112132[[#This Row],[Offloading Litres]]*Table13456789101112132[[#This Row],[Rate]]</f>
        <v>29032.386899999998</v>
      </c>
      <c r="P11" s="9" t="s">
        <v>254</v>
      </c>
      <c r="Q11" t="s">
        <v>519</v>
      </c>
    </row>
    <row r="12" spans="1:20" x14ac:dyDescent="0.3">
      <c r="A12" s="7">
        <v>45659</v>
      </c>
      <c r="B12" s="7">
        <v>45661</v>
      </c>
      <c r="C12" t="s">
        <v>29</v>
      </c>
      <c r="D12" t="s">
        <v>35</v>
      </c>
      <c r="E12" t="s">
        <v>16</v>
      </c>
      <c r="F12">
        <v>421319802</v>
      </c>
      <c r="G12">
        <v>802145550</v>
      </c>
      <c r="H12">
        <v>39439</v>
      </c>
      <c r="I12">
        <v>39744</v>
      </c>
      <c r="J12">
        <f>Table13456789101112132[[#This Row],[Offloading Litres]]-Table13456789101112132[[#This Row],[LOADED LITRES]]</f>
        <v>305</v>
      </c>
      <c r="K12" t="s">
        <v>32</v>
      </c>
      <c r="L12">
        <v>75159070</v>
      </c>
      <c r="M12" t="s">
        <v>105</v>
      </c>
      <c r="N12">
        <v>0.68110000000000004</v>
      </c>
      <c r="O12" s="8">
        <f>Table13456789101112132[[#This Row],[Offloading Litres]]*Table13456789101112132[[#This Row],[Rate]]</f>
        <v>27069.6384</v>
      </c>
      <c r="P12" s="9" t="s">
        <v>43</v>
      </c>
      <c r="Q12" t="s">
        <v>198</v>
      </c>
    </row>
    <row r="13" spans="1:20" x14ac:dyDescent="0.3">
      <c r="A13" s="7">
        <v>45662</v>
      </c>
      <c r="B13" s="7">
        <v>45663</v>
      </c>
      <c r="C13" t="s">
        <v>29</v>
      </c>
      <c r="D13" t="s">
        <v>35</v>
      </c>
      <c r="E13" t="s">
        <v>40</v>
      </c>
      <c r="F13">
        <v>421712636</v>
      </c>
      <c r="G13">
        <v>802151397</v>
      </c>
      <c r="H13">
        <v>43788</v>
      </c>
      <c r="I13">
        <v>44177</v>
      </c>
      <c r="J13">
        <f>Table13456789101112132[[#This Row],[Offloading Litres]]-Table13456789101112132[[#This Row],[LOADED LITRES]]</f>
        <v>389</v>
      </c>
      <c r="K13" t="s">
        <v>25</v>
      </c>
      <c r="L13">
        <v>75166604</v>
      </c>
      <c r="M13" t="s">
        <v>116</v>
      </c>
      <c r="N13">
        <v>0.73640000000000005</v>
      </c>
      <c r="O13" s="8">
        <f>Table13456789101112132[[#This Row],[Offloading Litres]]*Table13456789101112132[[#This Row],[Rate]]</f>
        <v>32531.942800000001</v>
      </c>
      <c r="P13" s="9" t="s">
        <v>53</v>
      </c>
      <c r="Q13" t="s">
        <v>496</v>
      </c>
    </row>
    <row r="14" spans="1:20" x14ac:dyDescent="0.3">
      <c r="A14" s="7">
        <v>45664</v>
      </c>
      <c r="B14" s="7">
        <v>45665</v>
      </c>
      <c r="C14" t="s">
        <v>29</v>
      </c>
      <c r="D14" t="s">
        <v>35</v>
      </c>
      <c r="E14" t="s">
        <v>16</v>
      </c>
      <c r="F14">
        <v>421505339</v>
      </c>
      <c r="G14">
        <v>802159584</v>
      </c>
      <c r="H14">
        <v>39479</v>
      </c>
      <c r="I14">
        <v>39661</v>
      </c>
      <c r="J14">
        <f>Table13456789101112132[[#This Row],[Offloading Litres]]-Table13456789101112132[[#This Row],[LOADED LITRES]]</f>
        <v>182</v>
      </c>
      <c r="K14" t="s">
        <v>32</v>
      </c>
      <c r="L14">
        <v>75175363</v>
      </c>
      <c r="M14" t="s">
        <v>123</v>
      </c>
      <c r="N14">
        <v>0.68110000000000004</v>
      </c>
      <c r="O14" s="8">
        <f>Table13456789101112132[[#This Row],[Offloading Litres]]*Table13456789101112132[[#This Row],[Rate]]</f>
        <v>27013.107100000001</v>
      </c>
      <c r="P14" s="9" t="s">
        <v>61</v>
      </c>
      <c r="Q14" t="s">
        <v>502</v>
      </c>
    </row>
    <row r="15" spans="1:20" x14ac:dyDescent="0.3">
      <c r="A15" s="7">
        <v>45667</v>
      </c>
      <c r="B15" s="7">
        <v>45668</v>
      </c>
      <c r="C15" t="s">
        <v>29</v>
      </c>
      <c r="D15" t="s">
        <v>35</v>
      </c>
      <c r="E15" t="s">
        <v>16</v>
      </c>
      <c r="F15">
        <v>421505325</v>
      </c>
      <c r="G15">
        <v>802172046</v>
      </c>
      <c r="H15">
        <v>39422</v>
      </c>
      <c r="I15">
        <v>39592</v>
      </c>
      <c r="J15">
        <f>Table13456789101112132[[#This Row],[Offloading Litres]]-Table13456789101112132[[#This Row],[LOADED LITRES]]</f>
        <v>170</v>
      </c>
      <c r="K15" t="s">
        <v>32</v>
      </c>
      <c r="L15">
        <v>75188824</v>
      </c>
      <c r="M15" t="s">
        <v>111</v>
      </c>
      <c r="N15">
        <v>0.68110000000000004</v>
      </c>
      <c r="O15" s="8">
        <f>Table13456789101112132[[#This Row],[Offloading Litres]]*Table13456789101112132[[#This Row],[Rate]]</f>
        <v>26966.111200000003</v>
      </c>
      <c r="P15" s="9" t="s">
        <v>68</v>
      </c>
      <c r="Q15" t="s">
        <v>224</v>
      </c>
    </row>
    <row r="16" spans="1:20" x14ac:dyDescent="0.3">
      <c r="A16" s="7">
        <v>45669</v>
      </c>
      <c r="B16" s="7">
        <v>45671</v>
      </c>
      <c r="C16" t="s">
        <v>29</v>
      </c>
      <c r="D16" t="s">
        <v>35</v>
      </c>
      <c r="E16" t="s">
        <v>16</v>
      </c>
      <c r="F16">
        <v>421721640</v>
      </c>
      <c r="G16">
        <v>802177986</v>
      </c>
      <c r="H16">
        <v>39468</v>
      </c>
      <c r="I16">
        <v>39706</v>
      </c>
      <c r="J16">
        <f>Table13456789101112132[[#This Row],[Offloading Litres]]-Table13456789101112132[[#This Row],[LOADED LITRES]]</f>
        <v>238</v>
      </c>
      <c r="K16" t="s">
        <v>32</v>
      </c>
      <c r="L16">
        <v>75195807</v>
      </c>
      <c r="M16" t="s">
        <v>138</v>
      </c>
      <c r="N16">
        <v>0.68110000000000004</v>
      </c>
      <c r="O16" s="8">
        <f>Table13456789101112132[[#This Row],[Offloading Litres]]*Table13456789101112132[[#This Row],[Rate]]</f>
        <v>27043.756600000001</v>
      </c>
      <c r="P16" s="9" t="s">
        <v>76</v>
      </c>
      <c r="Q16" t="s">
        <v>613</v>
      </c>
    </row>
    <row r="17" spans="1:20" x14ac:dyDescent="0.3">
      <c r="A17" s="7">
        <v>45673</v>
      </c>
      <c r="B17" s="7">
        <v>45673</v>
      </c>
      <c r="C17" t="s">
        <v>29</v>
      </c>
      <c r="D17" t="s">
        <v>35</v>
      </c>
      <c r="E17" t="s">
        <v>16</v>
      </c>
      <c r="F17">
        <v>421925446</v>
      </c>
      <c r="G17">
        <v>802192359</v>
      </c>
      <c r="H17">
        <v>39561</v>
      </c>
      <c r="I17">
        <v>39798</v>
      </c>
      <c r="J17">
        <f>Table13456789101112132[[#This Row],[Offloading Litres]]-Table13456789101112132[[#This Row],[LOADED LITRES]]</f>
        <v>237</v>
      </c>
      <c r="K17" t="s">
        <v>32</v>
      </c>
      <c r="L17">
        <v>75210809</v>
      </c>
      <c r="M17" s="15" t="s">
        <v>140</v>
      </c>
      <c r="N17">
        <v>0.68220000000000003</v>
      </c>
      <c r="O17" s="8">
        <f>Table13456789101112132[[#This Row],[Offloading Litres]]*Table13456789101112132[[#This Row],[Rate]]</f>
        <v>27150.195600000003</v>
      </c>
      <c r="P17" s="9" t="s">
        <v>83</v>
      </c>
      <c r="Q17" t="s">
        <v>266</v>
      </c>
    </row>
    <row r="18" spans="1:20" x14ac:dyDescent="0.3">
      <c r="A18" s="7">
        <v>45676</v>
      </c>
      <c r="B18" s="7">
        <v>45678</v>
      </c>
      <c r="C18" t="s">
        <v>30</v>
      </c>
      <c r="D18" t="s">
        <v>35</v>
      </c>
      <c r="E18" t="s">
        <v>16</v>
      </c>
      <c r="F18">
        <v>421959738</v>
      </c>
      <c r="G18">
        <v>802204845</v>
      </c>
      <c r="H18">
        <v>38600</v>
      </c>
      <c r="I18">
        <v>38935</v>
      </c>
      <c r="J18">
        <f>Table13456789101112132[[#This Row],[Offloading Litres]]-Table13456789101112132[[#This Row],[LOADED LITRES]]</f>
        <v>335</v>
      </c>
      <c r="K18" t="s">
        <v>32</v>
      </c>
      <c r="L18">
        <v>75224429</v>
      </c>
      <c r="M18" t="s">
        <v>164</v>
      </c>
      <c r="N18">
        <v>0.68220000000000003</v>
      </c>
      <c r="O18" s="8">
        <f>Table13456789101112132[[#This Row],[Offloading Litres]]*Table13456789101112132[[#This Row],[Rate]]</f>
        <v>26561.457000000002</v>
      </c>
      <c r="P18" s="9" t="s">
        <v>92</v>
      </c>
      <c r="Q18" t="s">
        <v>207</v>
      </c>
    </row>
    <row r="19" spans="1:20" x14ac:dyDescent="0.3">
      <c r="A19" s="7">
        <v>45679</v>
      </c>
      <c r="B19" s="7">
        <v>45681</v>
      </c>
      <c r="C19" t="s">
        <v>30</v>
      </c>
      <c r="D19" t="s">
        <v>35</v>
      </c>
      <c r="E19" t="s">
        <v>16</v>
      </c>
      <c r="F19">
        <v>421721218</v>
      </c>
      <c r="G19">
        <v>802219174</v>
      </c>
      <c r="H19">
        <v>43948</v>
      </c>
      <c r="I19">
        <v>44468</v>
      </c>
      <c r="J19">
        <f>Table13456789101112132[[#This Row],[Offloading Litres]]-Table13456789101112132[[#This Row],[LOADED LITRES]]</f>
        <v>520</v>
      </c>
      <c r="K19" t="s">
        <v>25</v>
      </c>
      <c r="L19">
        <v>75238953</v>
      </c>
      <c r="M19" t="s">
        <v>170</v>
      </c>
      <c r="N19">
        <v>0.68220000000000003</v>
      </c>
      <c r="O19" s="8">
        <f>Table13456789101112132[[#This Row],[Offloading Litres]]*Table13456789101112132[[#This Row],[Rate]]</f>
        <v>30336.069600000003</v>
      </c>
      <c r="P19" s="9" t="s">
        <v>98</v>
      </c>
      <c r="Q19" t="s">
        <v>201</v>
      </c>
    </row>
    <row r="20" spans="1:20" x14ac:dyDescent="0.3">
      <c r="A20" s="7">
        <v>45683</v>
      </c>
      <c r="B20" s="7">
        <v>45836</v>
      </c>
      <c r="C20" t="s">
        <v>30</v>
      </c>
      <c r="D20" t="s">
        <v>35</v>
      </c>
      <c r="E20" t="s">
        <v>16</v>
      </c>
      <c r="F20">
        <v>422160462</v>
      </c>
      <c r="G20">
        <v>802231675</v>
      </c>
      <c r="H20">
        <v>43803</v>
      </c>
      <c r="I20">
        <v>44019</v>
      </c>
      <c r="J20">
        <f>Table13456789101112132[[#This Row],[Offloading Litres]]-Table13456789101112132[[#This Row],[LOADED LITRES]]</f>
        <v>216</v>
      </c>
      <c r="K20" t="s">
        <v>25</v>
      </c>
      <c r="L20">
        <v>75252357</v>
      </c>
      <c r="M20" t="s">
        <v>179</v>
      </c>
      <c r="N20">
        <v>0.68220000000000003</v>
      </c>
      <c r="O20" s="8">
        <f>Table13456789101112132[[#This Row],[Offloading Litres]]*Table13456789101112132[[#This Row],[Rate]]</f>
        <v>30029.7618</v>
      </c>
      <c r="P20" s="9" t="s">
        <v>147</v>
      </c>
      <c r="Q20" t="s">
        <v>273</v>
      </c>
    </row>
    <row r="21" spans="1:20" x14ac:dyDescent="0.3">
      <c r="A21" s="11">
        <v>45688</v>
      </c>
      <c r="B21" s="11">
        <v>45688</v>
      </c>
      <c r="C21" s="12" t="s">
        <v>30</v>
      </c>
      <c r="D21" s="12" t="s">
        <v>35</v>
      </c>
      <c r="E21" s="12" t="s">
        <v>185</v>
      </c>
      <c r="F21" s="12">
        <v>422483044</v>
      </c>
      <c r="G21" s="12">
        <v>802252913</v>
      </c>
      <c r="H21" s="12">
        <v>38686</v>
      </c>
      <c r="I21" s="12">
        <v>39069</v>
      </c>
      <c r="J21" s="12">
        <f>Table13456789101112132[[#This Row],[Offloading Litres]]-Table13456789101112132[[#This Row],[LOADED LITRES]]</f>
        <v>383</v>
      </c>
      <c r="K21" s="12" t="s">
        <v>32</v>
      </c>
      <c r="L21" s="12">
        <v>75273791</v>
      </c>
      <c r="M21" s="12" t="s">
        <v>233</v>
      </c>
      <c r="N21" s="12">
        <v>0.74</v>
      </c>
      <c r="O21" s="13">
        <f>Table13456789101112132[[#This Row],[Offloading Litres]]*Table13456789101112132[[#This Row],[Rate]]</f>
        <v>28911.06</v>
      </c>
      <c r="P21" s="14" t="s">
        <v>193</v>
      </c>
      <c r="Q21" s="12" t="s">
        <v>285</v>
      </c>
      <c r="R21" s="12"/>
      <c r="S21" s="12"/>
      <c r="T21" s="12"/>
    </row>
    <row r="22" spans="1:20" x14ac:dyDescent="0.3">
      <c r="A22" s="7">
        <v>45660</v>
      </c>
      <c r="B22" s="7">
        <v>45661</v>
      </c>
      <c r="C22" t="s">
        <v>17</v>
      </c>
      <c r="D22" t="s">
        <v>19</v>
      </c>
      <c r="E22" t="s">
        <v>40</v>
      </c>
      <c r="F22">
        <v>421712633</v>
      </c>
      <c r="G22">
        <v>802149526</v>
      </c>
      <c r="H22">
        <v>43630</v>
      </c>
      <c r="I22">
        <v>44148</v>
      </c>
      <c r="J22">
        <f>Table13456789101112132[[#This Row],[Offloading Litres]]-Table13456789101112132[[#This Row],[LOADED LITRES]]</f>
        <v>518</v>
      </c>
      <c r="K22" t="s">
        <v>25</v>
      </c>
      <c r="L22">
        <v>75164088</v>
      </c>
      <c r="M22" t="s">
        <v>114</v>
      </c>
      <c r="N22">
        <v>0.73640000000000005</v>
      </c>
      <c r="O22" s="8">
        <f>Table13456789101112132[[#This Row],[Offloading Litres]]*Table13456789101112132[[#This Row],[Rate]]</f>
        <v>32510.587200000002</v>
      </c>
      <c r="P22" s="9" t="s">
        <v>51</v>
      </c>
      <c r="Q22" t="s">
        <v>490</v>
      </c>
    </row>
    <row r="23" spans="1:20" x14ac:dyDescent="0.3">
      <c r="A23" s="7">
        <v>45662</v>
      </c>
      <c r="B23" s="7">
        <v>45664</v>
      </c>
      <c r="C23" t="s">
        <v>17</v>
      </c>
      <c r="D23" t="s">
        <v>19</v>
      </c>
      <c r="E23" t="s">
        <v>40</v>
      </c>
      <c r="F23">
        <v>421712638</v>
      </c>
      <c r="G23">
        <v>802152110</v>
      </c>
      <c r="H23">
        <v>43711</v>
      </c>
      <c r="I23">
        <v>44160</v>
      </c>
      <c r="J23">
        <f>Table13456789101112132[[#This Row],[Offloading Litres]]-Table13456789101112132[[#This Row],[LOADED LITRES]]</f>
        <v>449</v>
      </c>
      <c r="K23" t="s">
        <v>25</v>
      </c>
      <c r="L23">
        <v>75167528</v>
      </c>
      <c r="M23" t="s">
        <v>119</v>
      </c>
      <c r="N23">
        <v>0.73640000000000005</v>
      </c>
      <c r="O23" s="8">
        <f>Table13456789101112132[[#This Row],[Offloading Litres]]*Table13456789101112132[[#This Row],[Rate]]</f>
        <v>32519.424000000003</v>
      </c>
      <c r="P23" s="9" t="s">
        <v>56</v>
      </c>
      <c r="Q23" t="s">
        <v>497</v>
      </c>
    </row>
    <row r="24" spans="1:20" x14ac:dyDescent="0.3">
      <c r="A24" s="7">
        <v>45665</v>
      </c>
      <c r="B24" s="7">
        <v>45666</v>
      </c>
      <c r="C24" t="s">
        <v>17</v>
      </c>
      <c r="D24" t="s">
        <v>19</v>
      </c>
      <c r="E24" t="s">
        <v>16</v>
      </c>
      <c r="F24">
        <v>421505322</v>
      </c>
      <c r="G24">
        <v>802165579</v>
      </c>
      <c r="H24">
        <v>38700</v>
      </c>
      <c r="I24">
        <v>39094</v>
      </c>
      <c r="J24">
        <f>Table13456789101112132[[#This Row],[Offloading Litres]]-Table13456789101112132[[#This Row],[LOADED LITRES]]</f>
        <v>394</v>
      </c>
      <c r="K24" t="s">
        <v>32</v>
      </c>
      <c r="L24">
        <v>75181706</v>
      </c>
      <c r="M24" t="s">
        <v>125</v>
      </c>
      <c r="N24">
        <v>0.68110000000000004</v>
      </c>
      <c r="O24" s="8">
        <f>Table13456789101112132[[#This Row],[Offloading Litres]]*Table13456789101112132[[#This Row],[Rate]]</f>
        <v>26626.923400000003</v>
      </c>
      <c r="P24" s="9" t="s">
        <v>62</v>
      </c>
      <c r="Q24" t="s">
        <v>507</v>
      </c>
    </row>
    <row r="25" spans="1:20" x14ac:dyDescent="0.3">
      <c r="A25" s="7">
        <v>45668</v>
      </c>
      <c r="B25" s="7">
        <v>45668</v>
      </c>
      <c r="C25" t="s">
        <v>17</v>
      </c>
      <c r="D25" t="s">
        <v>19</v>
      </c>
      <c r="E25" t="s">
        <v>16</v>
      </c>
      <c r="F25">
        <v>421505335</v>
      </c>
      <c r="G25">
        <v>802175304</v>
      </c>
      <c r="H25">
        <v>38662</v>
      </c>
      <c r="I25">
        <v>39044</v>
      </c>
      <c r="J25">
        <f>Table13456789101112132[[#This Row],[Offloading Litres]]-Table13456789101112132[[#This Row],[LOADED LITRES]]</f>
        <v>382</v>
      </c>
      <c r="K25" t="s">
        <v>32</v>
      </c>
      <c r="L25">
        <v>75192724</v>
      </c>
      <c r="M25" t="s">
        <v>132</v>
      </c>
      <c r="N25">
        <v>0.68110000000000004</v>
      </c>
      <c r="O25" s="8">
        <f>Table13456789101112132[[#This Row],[Offloading Litres]]*Table13456789101112132[[#This Row],[Rate]]</f>
        <v>26592.868400000003</v>
      </c>
      <c r="P25" s="9" t="s">
        <v>69</v>
      </c>
      <c r="Q25" t="s">
        <v>223</v>
      </c>
    </row>
    <row r="26" spans="1:20" x14ac:dyDescent="0.3">
      <c r="A26" s="7">
        <v>45669</v>
      </c>
      <c r="B26" s="7">
        <v>45671</v>
      </c>
      <c r="C26" t="s">
        <v>17</v>
      </c>
      <c r="D26" t="s">
        <v>19</v>
      </c>
      <c r="E26" t="s">
        <v>16</v>
      </c>
      <c r="F26">
        <v>421721606</v>
      </c>
      <c r="G26">
        <v>802177654</v>
      </c>
      <c r="H26">
        <v>38711</v>
      </c>
      <c r="I26">
        <v>39008</v>
      </c>
      <c r="J26">
        <f>Table13456789101112132[[#This Row],[Offloading Litres]]-Table13456789101112132[[#This Row],[LOADED LITRES]]</f>
        <v>297</v>
      </c>
      <c r="K26" t="s">
        <v>32</v>
      </c>
      <c r="L26">
        <v>75195546</v>
      </c>
      <c r="M26" t="s">
        <v>136</v>
      </c>
      <c r="N26">
        <v>0.68110000000000004</v>
      </c>
      <c r="O26" s="8">
        <f>Table13456789101112132[[#This Row],[Offloading Litres]]*Table13456789101112132[[#This Row],[Rate]]</f>
        <v>26568.3488</v>
      </c>
      <c r="P26" s="9" t="s">
        <v>77</v>
      </c>
      <c r="Q26" t="s">
        <v>614</v>
      </c>
    </row>
    <row r="27" spans="1:20" x14ac:dyDescent="0.3">
      <c r="A27" s="7">
        <v>45673</v>
      </c>
      <c r="B27" s="7">
        <v>45673</v>
      </c>
      <c r="C27" t="s">
        <v>17</v>
      </c>
      <c r="D27" t="s">
        <v>19</v>
      </c>
      <c r="E27" t="s">
        <v>16</v>
      </c>
      <c r="F27">
        <v>421943335</v>
      </c>
      <c r="G27">
        <v>802192376</v>
      </c>
      <c r="H27">
        <v>38754</v>
      </c>
      <c r="I27">
        <v>39046</v>
      </c>
      <c r="J27">
        <f>Table13456789101112132[[#This Row],[Offloading Litres]]-Table13456789101112132[[#This Row],[LOADED LITRES]]</f>
        <v>292</v>
      </c>
      <c r="K27" t="s">
        <v>32</v>
      </c>
      <c r="L27">
        <v>75210835</v>
      </c>
      <c r="M27" t="s">
        <v>141</v>
      </c>
      <c r="N27">
        <v>0.68220000000000003</v>
      </c>
      <c r="O27" s="8">
        <f>Table13456789101112132[[#This Row],[Offloading Litres]]*Table13456789101112132[[#This Row],[Rate]]</f>
        <v>26637.181200000003</v>
      </c>
      <c r="P27" s="9" t="s">
        <v>82</v>
      </c>
      <c r="Q27" t="s">
        <v>215</v>
      </c>
    </row>
    <row r="28" spans="1:20" x14ac:dyDescent="0.3">
      <c r="A28" s="7">
        <v>45681</v>
      </c>
      <c r="B28" s="7">
        <v>45685</v>
      </c>
      <c r="C28" t="s">
        <v>17</v>
      </c>
      <c r="D28" t="s">
        <v>19</v>
      </c>
      <c r="E28" t="s">
        <v>16</v>
      </c>
      <c r="F28">
        <v>422160436</v>
      </c>
      <c r="G28">
        <v>802228104</v>
      </c>
      <c r="H28">
        <v>43704</v>
      </c>
      <c r="I28">
        <v>44006</v>
      </c>
      <c r="J28">
        <f>Table13456789101112132[[#This Row],[Offloading Litres]]-Table13456789101112132[[#This Row],[LOADED LITRES]]</f>
        <v>302</v>
      </c>
      <c r="K28" t="s">
        <v>25</v>
      </c>
      <c r="L28">
        <v>75248891</v>
      </c>
      <c r="M28" s="15" t="s">
        <v>176</v>
      </c>
      <c r="N28">
        <v>0.68220000000000003</v>
      </c>
      <c r="O28" s="8">
        <f>Table13456789101112132[[#This Row],[Offloading Litres]]*Table13456789101112132[[#This Row],[Rate]]</f>
        <v>30020.893200000002</v>
      </c>
      <c r="P28" s="9" t="s">
        <v>145</v>
      </c>
      <c r="Q28" t="s">
        <v>264</v>
      </c>
    </row>
    <row r="29" spans="1:20" x14ac:dyDescent="0.3">
      <c r="A29" s="11">
        <v>45686</v>
      </c>
      <c r="B29" s="11">
        <v>45686</v>
      </c>
      <c r="C29" s="12" t="s">
        <v>17</v>
      </c>
      <c r="D29" s="12" t="s">
        <v>19</v>
      </c>
      <c r="E29" s="12" t="s">
        <v>185</v>
      </c>
      <c r="F29" s="12">
        <v>422476982</v>
      </c>
      <c r="G29" s="12">
        <v>802242459</v>
      </c>
      <c r="H29" s="12">
        <v>39645</v>
      </c>
      <c r="I29" s="12">
        <v>40073</v>
      </c>
      <c r="J29" s="12">
        <f>Table13456789101112132[[#This Row],[Offloading Litres]]-Table13456789101112132[[#This Row],[LOADED LITRES]]</f>
        <v>428</v>
      </c>
      <c r="K29" s="12" t="s">
        <v>32</v>
      </c>
      <c r="L29" s="12">
        <v>75263533</v>
      </c>
      <c r="M29" s="12" t="s">
        <v>225</v>
      </c>
      <c r="N29" s="12">
        <v>0.74</v>
      </c>
      <c r="O29" s="13">
        <f>Table13456789101112132[[#This Row],[Offloading Litres]]*Table13456789101112132[[#This Row],[Rate]]</f>
        <v>29654.02</v>
      </c>
      <c r="P29" s="14" t="s">
        <v>186</v>
      </c>
      <c r="Q29" s="12" t="s">
        <v>277</v>
      </c>
      <c r="R29" s="12"/>
      <c r="S29" s="12"/>
      <c r="T29" s="12"/>
    </row>
    <row r="30" spans="1:20" x14ac:dyDescent="0.3">
      <c r="A30" s="11">
        <v>45688</v>
      </c>
      <c r="B30" s="11">
        <v>45658</v>
      </c>
      <c r="C30" s="12" t="s">
        <v>17</v>
      </c>
      <c r="D30" s="12" t="s">
        <v>19</v>
      </c>
      <c r="E30" s="12" t="s">
        <v>187</v>
      </c>
      <c r="F30" s="12">
        <v>422509509</v>
      </c>
      <c r="G30" s="12">
        <v>802252849</v>
      </c>
      <c r="H30" s="12">
        <v>43341</v>
      </c>
      <c r="I30" s="12">
        <v>43849</v>
      </c>
      <c r="J30" s="12">
        <f>Table13456789101112132[[#This Row],[Offloading Litres]]-Table13456789101112132[[#This Row],[LOADED LITRES]]</f>
        <v>508</v>
      </c>
      <c r="K30" s="12" t="s">
        <v>25</v>
      </c>
      <c r="L30" s="12">
        <v>75273710</v>
      </c>
      <c r="M30" s="12" t="s">
        <v>234</v>
      </c>
      <c r="N30" s="12">
        <v>0.75290000000000001</v>
      </c>
      <c r="O30" s="13">
        <f>Table13456789101112132[[#This Row],[Offloading Litres]]*Table13456789101112132[[#This Row],[Rate]]</f>
        <v>33013.912100000001</v>
      </c>
      <c r="P30" s="14" t="s">
        <v>195</v>
      </c>
      <c r="Q30" s="12" t="s">
        <v>544</v>
      </c>
      <c r="R30" s="12"/>
      <c r="S30" s="12"/>
      <c r="T30" s="12"/>
    </row>
    <row r="31" spans="1:20" x14ac:dyDescent="0.3">
      <c r="A31" s="7">
        <v>45659</v>
      </c>
      <c r="B31" s="7">
        <v>45660</v>
      </c>
      <c r="C31" t="s">
        <v>28</v>
      </c>
      <c r="D31" t="s">
        <v>33</v>
      </c>
      <c r="E31" t="s">
        <v>16</v>
      </c>
      <c r="F31">
        <v>421319792</v>
      </c>
      <c r="G31">
        <v>802144810</v>
      </c>
      <c r="H31">
        <v>39395</v>
      </c>
      <c r="I31">
        <v>39802</v>
      </c>
      <c r="J31">
        <f>Table13456789101112132[[#This Row],[Offloading Litres]]-Table13456789101112132[[#This Row],[LOADED LITRES]]</f>
        <v>407</v>
      </c>
      <c r="K31" t="s">
        <v>32</v>
      </c>
      <c r="L31">
        <v>75158392</v>
      </c>
      <c r="M31" t="s">
        <v>106</v>
      </c>
      <c r="N31">
        <v>0.68110000000000004</v>
      </c>
      <c r="O31" s="8">
        <f>Table13456789101112132[[#This Row],[Offloading Litres]]*Table13456789101112132[[#This Row],[Rate]]</f>
        <v>27109.142200000002</v>
      </c>
      <c r="P31" s="9" t="s">
        <v>44</v>
      </c>
      <c r="Q31" t="s">
        <v>199</v>
      </c>
    </row>
    <row r="32" spans="1:20" x14ac:dyDescent="0.3">
      <c r="A32" s="7">
        <v>45661</v>
      </c>
      <c r="B32" s="7">
        <v>45663</v>
      </c>
      <c r="C32" t="s">
        <v>28</v>
      </c>
      <c r="D32" t="s">
        <v>33</v>
      </c>
      <c r="E32" t="s">
        <v>40</v>
      </c>
      <c r="F32">
        <v>421712634</v>
      </c>
      <c r="G32">
        <v>802150524</v>
      </c>
      <c r="H32">
        <v>43771</v>
      </c>
      <c r="I32">
        <v>44147</v>
      </c>
      <c r="J32">
        <f>Table13456789101112132[[#This Row],[Offloading Litres]]-Table13456789101112132[[#This Row],[LOADED LITRES]]</f>
        <v>376</v>
      </c>
      <c r="K32" t="s">
        <v>25</v>
      </c>
      <c r="L32">
        <v>75165430</v>
      </c>
      <c r="M32" t="s">
        <v>115</v>
      </c>
      <c r="N32">
        <v>0.73640000000000005</v>
      </c>
      <c r="O32" s="8">
        <f>Table13456789101112132[[#This Row],[Offloading Litres]]*Table13456789101112132[[#This Row],[Rate]]</f>
        <v>32509.850800000004</v>
      </c>
      <c r="P32" s="9" t="s">
        <v>52</v>
      </c>
      <c r="Q32" t="s">
        <v>492</v>
      </c>
    </row>
    <row r="33" spans="1:20" x14ac:dyDescent="0.3">
      <c r="A33" s="7">
        <v>45664</v>
      </c>
      <c r="B33" s="7">
        <v>45666</v>
      </c>
      <c r="C33" t="s">
        <v>28</v>
      </c>
      <c r="D33" t="s">
        <v>33</v>
      </c>
      <c r="E33" t="s">
        <v>16</v>
      </c>
      <c r="F33">
        <v>421505297</v>
      </c>
      <c r="G33">
        <v>802159432</v>
      </c>
      <c r="H33">
        <v>39473</v>
      </c>
      <c r="I33">
        <v>39581</v>
      </c>
      <c r="J33">
        <f>Table13456789101112132[[#This Row],[Offloading Litres]]-Table13456789101112132[[#This Row],[LOADED LITRES]]</f>
        <v>108</v>
      </c>
      <c r="K33" t="s">
        <v>32</v>
      </c>
      <c r="L33">
        <v>75175248</v>
      </c>
      <c r="M33" t="s">
        <v>122</v>
      </c>
      <c r="N33">
        <v>0.68110000000000004</v>
      </c>
      <c r="O33" s="8">
        <f>Table13456789101112132[[#This Row],[Offloading Litres]]*Table13456789101112132[[#This Row],[Rate]]</f>
        <v>26958.6191</v>
      </c>
      <c r="P33" s="9" t="s">
        <v>60</v>
      </c>
      <c r="Q33" t="s">
        <v>503</v>
      </c>
    </row>
    <row r="34" spans="1:20" x14ac:dyDescent="0.3">
      <c r="A34" s="7">
        <v>45668</v>
      </c>
      <c r="B34" s="7">
        <v>45671</v>
      </c>
      <c r="C34" t="s">
        <v>28</v>
      </c>
      <c r="D34" t="s">
        <v>33</v>
      </c>
      <c r="E34" t="s">
        <v>16</v>
      </c>
      <c r="F34">
        <v>421505337</v>
      </c>
      <c r="G34">
        <v>802176309</v>
      </c>
      <c r="H34">
        <v>39402</v>
      </c>
      <c r="I34">
        <v>39614</v>
      </c>
      <c r="J34">
        <f>Table13456789101112132[[#This Row],[Offloading Litres]]-Table13456789101112132[[#This Row],[LOADED LITRES]]</f>
        <v>212</v>
      </c>
      <c r="K34" t="s">
        <v>32</v>
      </c>
      <c r="L34">
        <v>75193856</v>
      </c>
      <c r="M34" t="s">
        <v>133</v>
      </c>
      <c r="N34">
        <v>0.68110000000000004</v>
      </c>
      <c r="O34" s="8">
        <f>Table13456789101112132[[#This Row],[Offloading Litres]]*Table13456789101112132[[#This Row],[Rate]]</f>
        <v>26981.095400000002</v>
      </c>
      <c r="P34" s="9" t="s">
        <v>73</v>
      </c>
      <c r="Q34" t="s">
        <v>221</v>
      </c>
    </row>
    <row r="35" spans="1:20" x14ac:dyDescent="0.3">
      <c r="A35" s="7">
        <v>45671</v>
      </c>
      <c r="B35" s="7">
        <v>45672</v>
      </c>
      <c r="C35" t="s">
        <v>28</v>
      </c>
      <c r="D35" t="s">
        <v>33</v>
      </c>
      <c r="E35" t="s">
        <v>16</v>
      </c>
      <c r="F35">
        <v>421925317</v>
      </c>
      <c r="G35">
        <v>802187437</v>
      </c>
      <c r="H35">
        <v>39460</v>
      </c>
      <c r="I35">
        <v>39636</v>
      </c>
      <c r="J35">
        <f>Table13456789101112132[[#This Row],[Offloading Litres]]-Table13456789101112132[[#This Row],[LOADED LITRES]]</f>
        <v>176</v>
      </c>
      <c r="K35" t="s">
        <v>32</v>
      </c>
      <c r="L35">
        <v>75205934</v>
      </c>
      <c r="M35" t="s">
        <v>139</v>
      </c>
      <c r="N35">
        <v>0.68110000000000004</v>
      </c>
      <c r="O35" s="8">
        <f>Table13456789101112132[[#This Row],[Offloading Litres]]*Table13456789101112132[[#This Row],[Rate]]</f>
        <v>26996.079600000001</v>
      </c>
      <c r="P35" s="9" t="s">
        <v>80</v>
      </c>
      <c r="Q35" t="s">
        <v>265</v>
      </c>
    </row>
    <row r="36" spans="1:20" x14ac:dyDescent="0.3">
      <c r="A36" s="7">
        <v>45682</v>
      </c>
      <c r="B36" s="7">
        <v>45685</v>
      </c>
      <c r="C36" t="s">
        <v>103</v>
      </c>
      <c r="D36" t="s">
        <v>33</v>
      </c>
      <c r="E36" t="s">
        <v>16</v>
      </c>
      <c r="F36">
        <v>422160453</v>
      </c>
      <c r="G36">
        <v>802230944</v>
      </c>
      <c r="H36">
        <v>44059</v>
      </c>
      <c r="I36">
        <v>44416</v>
      </c>
      <c r="J36">
        <f>Table13456789101112132[[#This Row],[Offloading Litres]]-Table13456789101112132[[#This Row],[LOADED LITRES]]</f>
        <v>357</v>
      </c>
      <c r="K36" t="s">
        <v>25</v>
      </c>
      <c r="L36">
        <v>75252196</v>
      </c>
      <c r="M36" t="s">
        <v>177</v>
      </c>
      <c r="N36">
        <v>0.68220000000000003</v>
      </c>
      <c r="O36" s="8">
        <f>Table13456789101112132[[#This Row],[Offloading Litres]]*Table13456789101112132[[#This Row],[Rate]]</f>
        <v>30300.5952</v>
      </c>
      <c r="P36" s="9" t="s">
        <v>152</v>
      </c>
      <c r="Q36" t="s">
        <v>271</v>
      </c>
    </row>
    <row r="37" spans="1:20" x14ac:dyDescent="0.3">
      <c r="A37" s="11">
        <v>45687</v>
      </c>
      <c r="B37" s="11">
        <v>45687</v>
      </c>
      <c r="C37" s="12" t="s">
        <v>28</v>
      </c>
      <c r="D37" s="12" t="s">
        <v>33</v>
      </c>
      <c r="E37" s="12" t="s">
        <v>185</v>
      </c>
      <c r="F37" s="12">
        <v>422476998</v>
      </c>
      <c r="G37" s="12">
        <v>802247344</v>
      </c>
      <c r="H37" s="12">
        <v>39447</v>
      </c>
      <c r="I37" s="12">
        <v>39791</v>
      </c>
      <c r="J37" s="12">
        <f>Table13456789101112132[[#This Row],[Offloading Litres]]-Table13456789101112132[[#This Row],[LOADED LITRES]]</f>
        <v>344</v>
      </c>
      <c r="K37" s="12" t="s">
        <v>32</v>
      </c>
      <c r="L37" s="12">
        <v>75268400</v>
      </c>
      <c r="M37" s="12" t="s">
        <v>229</v>
      </c>
      <c r="N37" s="12">
        <v>0.74</v>
      </c>
      <c r="O37" s="13">
        <f>Table13456789101112132[[#This Row],[Offloading Litres]]*Table13456789101112132[[#This Row],[Rate]]</f>
        <v>29445.34</v>
      </c>
      <c r="P37" s="14" t="s">
        <v>190</v>
      </c>
      <c r="Q37" s="12" t="s">
        <v>282</v>
      </c>
      <c r="R37" s="12"/>
      <c r="S37" s="12"/>
      <c r="T37" s="12"/>
    </row>
    <row r="38" spans="1:20" x14ac:dyDescent="0.3">
      <c r="A38" s="7">
        <v>45683</v>
      </c>
      <c r="B38" s="7">
        <v>45685</v>
      </c>
      <c r="C38" t="s">
        <v>23</v>
      </c>
      <c r="D38" t="s">
        <v>97</v>
      </c>
      <c r="E38" t="s">
        <v>16</v>
      </c>
      <c r="F38">
        <v>422160491</v>
      </c>
      <c r="G38">
        <v>802231049</v>
      </c>
      <c r="H38">
        <v>43798</v>
      </c>
      <c r="I38">
        <v>43954</v>
      </c>
      <c r="J38">
        <f>Table13456789101112132[[#This Row],[Offloading Litres]]-Table13456789101112132[[#This Row],[LOADED LITRES]]</f>
        <v>156</v>
      </c>
      <c r="K38" t="s">
        <v>25</v>
      </c>
      <c r="L38">
        <v>75252321</v>
      </c>
      <c r="M38" t="s">
        <v>178</v>
      </c>
      <c r="N38">
        <v>0.68220000000000003</v>
      </c>
      <c r="O38" s="8">
        <f>Table13456789101112132[[#This Row],[Offloading Litres]]*Table13456789101112132[[#This Row],[Rate]]</f>
        <v>29985.418799999999</v>
      </c>
      <c r="P38" s="9" t="s">
        <v>146</v>
      </c>
      <c r="Q38" t="s">
        <v>272</v>
      </c>
    </row>
    <row r="39" spans="1:20" x14ac:dyDescent="0.3">
      <c r="A39" s="7">
        <v>45660</v>
      </c>
      <c r="B39" s="7">
        <v>45660</v>
      </c>
      <c r="C39" t="s">
        <v>34</v>
      </c>
      <c r="D39" t="s">
        <v>39</v>
      </c>
      <c r="E39" t="s">
        <v>16</v>
      </c>
      <c r="F39">
        <v>421319807</v>
      </c>
      <c r="G39">
        <v>802145663</v>
      </c>
      <c r="H39">
        <v>38632</v>
      </c>
      <c r="I39">
        <v>38999</v>
      </c>
      <c r="J39">
        <f>Table13456789101112132[[#This Row],[Offloading Litres]]-Table13456789101112132[[#This Row],[LOADED LITRES]]</f>
        <v>367</v>
      </c>
      <c r="K39" t="s">
        <v>32</v>
      </c>
      <c r="L39">
        <v>75159202</v>
      </c>
      <c r="M39" t="s">
        <v>107</v>
      </c>
      <c r="N39">
        <v>0.68110000000000004</v>
      </c>
      <c r="O39" s="8">
        <f>Table13456789101112132[[#This Row],[Offloading Litres]]*Table13456789101112132[[#This Row],[Rate]]</f>
        <v>26562.2189</v>
      </c>
      <c r="P39" s="9" t="s">
        <v>41</v>
      </c>
      <c r="Q39" t="s">
        <v>197</v>
      </c>
    </row>
    <row r="40" spans="1:20" x14ac:dyDescent="0.3">
      <c r="A40" s="7">
        <v>45661</v>
      </c>
      <c r="B40" s="7">
        <v>45662</v>
      </c>
      <c r="C40" t="s">
        <v>34</v>
      </c>
      <c r="D40" t="s">
        <v>39</v>
      </c>
      <c r="E40" t="s">
        <v>40</v>
      </c>
      <c r="F40">
        <v>421712635</v>
      </c>
      <c r="G40">
        <v>802150278</v>
      </c>
      <c r="H40">
        <v>43600</v>
      </c>
      <c r="I40">
        <v>44132</v>
      </c>
      <c r="J40">
        <f>Table13456789101112132[[#This Row],[Offloading Litres]]-Table13456789101112132[[#This Row],[LOADED LITRES]]</f>
        <v>532</v>
      </c>
      <c r="K40" t="s">
        <v>25</v>
      </c>
      <c r="L40">
        <v>75165056</v>
      </c>
      <c r="M40" t="s">
        <v>108</v>
      </c>
      <c r="N40">
        <v>0.73640000000000005</v>
      </c>
      <c r="O40" s="8">
        <f>Table13456789101112132[[#This Row],[Offloading Litres]]*Table13456789101112132[[#This Row],[Rate]]</f>
        <v>32498.804800000002</v>
      </c>
      <c r="P40" s="9" t="s">
        <v>45</v>
      </c>
      <c r="Q40" t="s">
        <v>493</v>
      </c>
    </row>
    <row r="41" spans="1:20" x14ac:dyDescent="0.3">
      <c r="A41" s="7">
        <v>45663</v>
      </c>
      <c r="B41" s="7">
        <v>45664</v>
      </c>
      <c r="C41" t="s">
        <v>34</v>
      </c>
      <c r="D41" t="s">
        <v>39</v>
      </c>
      <c r="E41" t="s">
        <v>16</v>
      </c>
      <c r="F41">
        <v>421505118</v>
      </c>
      <c r="G41">
        <v>802156716</v>
      </c>
      <c r="H41">
        <v>43945</v>
      </c>
      <c r="I41">
        <v>44126</v>
      </c>
      <c r="J41">
        <f>Table13456789101112132[[#This Row],[Offloading Litres]]-Table13456789101112132[[#This Row],[LOADED LITRES]]</f>
        <v>181</v>
      </c>
      <c r="K41" t="s">
        <v>25</v>
      </c>
      <c r="L41">
        <v>75172407</v>
      </c>
      <c r="M41" t="s">
        <v>110</v>
      </c>
      <c r="N41">
        <v>0.68110000000000004</v>
      </c>
      <c r="O41" s="8">
        <f>Table13456789101112132[[#This Row],[Offloading Litres]]*Table13456789101112132[[#This Row],[Rate]]</f>
        <v>30054.2186</v>
      </c>
      <c r="P41" s="9" t="s">
        <v>58</v>
      </c>
      <c r="Q41" t="s">
        <v>498</v>
      </c>
    </row>
    <row r="42" spans="1:20" x14ac:dyDescent="0.3">
      <c r="A42" s="7">
        <v>45665</v>
      </c>
      <c r="B42" s="7">
        <v>45667</v>
      </c>
      <c r="C42" t="s">
        <v>34</v>
      </c>
      <c r="D42" t="s">
        <v>39</v>
      </c>
      <c r="E42" t="s">
        <v>16</v>
      </c>
      <c r="F42">
        <v>421505126</v>
      </c>
      <c r="G42">
        <v>802165137</v>
      </c>
      <c r="H42">
        <v>43855</v>
      </c>
      <c r="I42">
        <v>44114</v>
      </c>
      <c r="J42">
        <f>Table13456789101112132[[#This Row],[Offloading Litres]]-Table13456789101112132[[#This Row],[LOADED LITRES]]</f>
        <v>259</v>
      </c>
      <c r="K42" t="s">
        <v>25</v>
      </c>
      <c r="L42">
        <v>75181258</v>
      </c>
      <c r="M42" t="s">
        <v>124</v>
      </c>
      <c r="N42">
        <v>0.68110000000000004</v>
      </c>
      <c r="O42" s="8">
        <f>Table13456789101112132[[#This Row],[Offloading Litres]]*Table13456789101112132[[#This Row],[Rate]]</f>
        <v>30046.045400000003</v>
      </c>
      <c r="P42" s="9" t="s">
        <v>46</v>
      </c>
      <c r="Q42" t="s">
        <v>508</v>
      </c>
    </row>
    <row r="43" spans="1:20" x14ac:dyDescent="0.3">
      <c r="A43" s="7">
        <v>45667</v>
      </c>
      <c r="B43" s="7">
        <v>45668</v>
      </c>
      <c r="C43" t="s">
        <v>34</v>
      </c>
      <c r="D43" t="s">
        <v>39</v>
      </c>
      <c r="E43" t="s">
        <v>16</v>
      </c>
      <c r="F43">
        <v>421505159</v>
      </c>
      <c r="G43">
        <v>802175190</v>
      </c>
      <c r="H43">
        <v>43801</v>
      </c>
      <c r="I43">
        <v>44224</v>
      </c>
      <c r="J43">
        <f>Table13456789101112132[[#This Row],[Offloading Litres]]-Table13456789101112132[[#This Row],[LOADED LITRES]]</f>
        <v>423</v>
      </c>
      <c r="K43" t="s">
        <v>25</v>
      </c>
      <c r="L43">
        <v>75182585</v>
      </c>
      <c r="M43" t="s">
        <v>130</v>
      </c>
      <c r="N43">
        <v>0.68110000000000004</v>
      </c>
      <c r="O43" s="8">
        <f>Table13456789101112132[[#This Row],[Offloading Litres]]*Table13456789101112132[[#This Row],[Rate]]</f>
        <v>30120.966400000001</v>
      </c>
      <c r="P43" s="9" t="s">
        <v>70</v>
      </c>
      <c r="Q43" t="s">
        <v>222</v>
      </c>
    </row>
    <row r="44" spans="1:20" x14ac:dyDescent="0.3">
      <c r="A44" s="7">
        <v>45669</v>
      </c>
      <c r="B44" s="7">
        <v>45671</v>
      </c>
      <c r="C44" t="s">
        <v>34</v>
      </c>
      <c r="D44" t="s">
        <v>39</v>
      </c>
      <c r="E44" t="s">
        <v>16</v>
      </c>
      <c r="F44">
        <v>421720967</v>
      </c>
      <c r="G44">
        <v>802177650</v>
      </c>
      <c r="H44">
        <v>43832</v>
      </c>
      <c r="I44">
        <v>44087</v>
      </c>
      <c r="J44">
        <f>Table13456789101112132[[#This Row],[Offloading Litres]]-Table13456789101112132[[#This Row],[LOADED LITRES]]</f>
        <v>255</v>
      </c>
      <c r="K44" t="s">
        <v>25</v>
      </c>
      <c r="L44">
        <v>75195542</v>
      </c>
      <c r="M44" t="s">
        <v>137</v>
      </c>
      <c r="N44">
        <v>0.68110000000000004</v>
      </c>
      <c r="O44" s="8">
        <f>Table13456789101112132[[#This Row],[Offloading Litres]]*Table13456789101112132[[#This Row],[Rate]]</f>
        <v>30027.655700000003</v>
      </c>
      <c r="P44" s="9" t="s">
        <v>74</v>
      </c>
      <c r="Q44" t="s">
        <v>218</v>
      </c>
    </row>
    <row r="45" spans="1:20" x14ac:dyDescent="0.3">
      <c r="A45" s="7">
        <v>45675</v>
      </c>
      <c r="B45" s="7">
        <v>45677</v>
      </c>
      <c r="C45" t="s">
        <v>23</v>
      </c>
      <c r="D45" t="s">
        <v>39</v>
      </c>
      <c r="E45" t="s">
        <v>16</v>
      </c>
      <c r="F45">
        <v>421943414</v>
      </c>
      <c r="G45">
        <v>802201971</v>
      </c>
      <c r="H45">
        <v>38702</v>
      </c>
      <c r="I45">
        <v>38901</v>
      </c>
      <c r="J45">
        <f>Table13456789101112132[[#This Row],[Offloading Litres]]-Table13456789101112132[[#This Row],[LOADED LITRES]]</f>
        <v>199</v>
      </c>
      <c r="K45" t="s">
        <v>32</v>
      </c>
      <c r="L45">
        <v>75221229</v>
      </c>
      <c r="M45" t="s">
        <v>160</v>
      </c>
      <c r="N45">
        <v>0.68220000000000003</v>
      </c>
      <c r="O45" s="8">
        <f>Table13456789101112132[[#This Row],[Offloading Litres]]*Table13456789101112132[[#This Row],[Rate]]</f>
        <v>26538.262200000001</v>
      </c>
      <c r="P45" s="9" t="s">
        <v>88</v>
      </c>
      <c r="Q45" t="s">
        <v>211</v>
      </c>
    </row>
    <row r="46" spans="1:20" x14ac:dyDescent="0.3">
      <c r="A46" s="7">
        <v>45678</v>
      </c>
      <c r="B46" s="7">
        <v>45679</v>
      </c>
      <c r="C46" t="s">
        <v>23</v>
      </c>
      <c r="D46" t="s">
        <v>39</v>
      </c>
      <c r="E46" t="s">
        <v>16</v>
      </c>
      <c r="F46">
        <v>421959739</v>
      </c>
      <c r="G46">
        <v>802213769</v>
      </c>
      <c r="H46">
        <v>38679</v>
      </c>
      <c r="I46">
        <v>38828</v>
      </c>
      <c r="J46">
        <f>Table13456789101112132[[#This Row],[Offloading Litres]]-Table13456789101112132[[#This Row],[LOADED LITRES]]</f>
        <v>149</v>
      </c>
      <c r="K46" t="s">
        <v>32</v>
      </c>
      <c r="L46">
        <v>75233281</v>
      </c>
      <c r="M46" t="s">
        <v>167</v>
      </c>
      <c r="N46">
        <v>0.68220000000000003</v>
      </c>
      <c r="O46" s="8">
        <f>Table13456789101112132[[#This Row],[Offloading Litres]]*Table13456789101112132[[#This Row],[Rate]]</f>
        <v>26488.461600000002</v>
      </c>
      <c r="P46" s="9" t="s">
        <v>93</v>
      </c>
      <c r="Q46" t="s">
        <v>205</v>
      </c>
    </row>
    <row r="47" spans="1:20" x14ac:dyDescent="0.3">
      <c r="A47" s="11">
        <v>45686</v>
      </c>
      <c r="B47" s="11">
        <v>45686</v>
      </c>
      <c r="C47" s="12" t="s">
        <v>23</v>
      </c>
      <c r="D47" s="12" t="s">
        <v>39</v>
      </c>
      <c r="E47" s="12" t="s">
        <v>185</v>
      </c>
      <c r="F47" s="12">
        <v>422476992</v>
      </c>
      <c r="G47" s="12">
        <v>802242576</v>
      </c>
      <c r="H47" s="12">
        <v>38670</v>
      </c>
      <c r="I47" s="12">
        <v>39018</v>
      </c>
      <c r="J47" s="12">
        <f>Table13456789101112132[[#This Row],[Offloading Litres]]-Table13456789101112132[[#This Row],[LOADED LITRES]]</f>
        <v>348</v>
      </c>
      <c r="K47" s="12" t="s">
        <v>32</v>
      </c>
      <c r="L47" s="12">
        <v>75263668</v>
      </c>
      <c r="M47" s="12" t="s">
        <v>226</v>
      </c>
      <c r="N47" s="12">
        <v>0.74</v>
      </c>
      <c r="O47" s="13">
        <f>Table13456789101112132[[#This Row],[Offloading Litres]]*Table13456789101112132[[#This Row],[Rate]]</f>
        <v>28873.32</v>
      </c>
      <c r="P47" s="14" t="s">
        <v>188</v>
      </c>
      <c r="Q47" s="12" t="s">
        <v>278</v>
      </c>
      <c r="R47" s="12"/>
      <c r="S47" s="12"/>
      <c r="T47" s="12"/>
    </row>
    <row r="48" spans="1:20" x14ac:dyDescent="0.3">
      <c r="A48" s="11">
        <v>45687</v>
      </c>
      <c r="B48" s="11">
        <v>45689</v>
      </c>
      <c r="C48" s="12" t="s">
        <v>23</v>
      </c>
      <c r="D48" s="12" t="s">
        <v>39</v>
      </c>
      <c r="E48" s="12" t="s">
        <v>187</v>
      </c>
      <c r="F48" s="12">
        <v>422509507</v>
      </c>
      <c r="G48" s="12">
        <v>802252781</v>
      </c>
      <c r="H48" s="12">
        <v>43429</v>
      </c>
      <c r="I48" s="12">
        <v>43839</v>
      </c>
      <c r="J48" s="12">
        <f>Table13456789101112132[[#This Row],[Offloading Litres]]-Table13456789101112132[[#This Row],[LOADED LITRES]]</f>
        <v>410</v>
      </c>
      <c r="K48" s="12" t="s">
        <v>25</v>
      </c>
      <c r="L48" s="12">
        <v>75273633</v>
      </c>
      <c r="M48" s="12" t="s">
        <v>232</v>
      </c>
      <c r="N48" s="12">
        <v>0.75290000000000001</v>
      </c>
      <c r="O48" s="13">
        <f>Table13456789101112132[[#This Row],[Offloading Litres]]*Table13456789101112132[[#This Row],[Rate]]</f>
        <v>33006.383099999999</v>
      </c>
      <c r="P48" s="14" t="s">
        <v>194</v>
      </c>
      <c r="Q48" s="12" t="s">
        <v>543</v>
      </c>
      <c r="R48" s="12"/>
      <c r="S48" s="12"/>
      <c r="T48" s="12"/>
    </row>
    <row r="49" spans="1:20" x14ac:dyDescent="0.3">
      <c r="A49" s="7">
        <v>45673</v>
      </c>
      <c r="B49" s="7">
        <v>45674</v>
      </c>
      <c r="C49" t="s">
        <v>23</v>
      </c>
      <c r="D49" t="s">
        <v>39</v>
      </c>
      <c r="E49" t="s">
        <v>243</v>
      </c>
      <c r="F49">
        <v>422060496</v>
      </c>
      <c r="G49">
        <v>802194680</v>
      </c>
      <c r="H49">
        <v>38654</v>
      </c>
      <c r="I49">
        <v>38734</v>
      </c>
      <c r="J49">
        <f>Table13456789101112132[[#This Row],[Offloading Litres]]-Table13456789101112132[[#This Row],[LOADED LITRES]]</f>
        <v>80</v>
      </c>
      <c r="K49" t="s">
        <v>236</v>
      </c>
      <c r="L49" s="17" t="s">
        <v>244</v>
      </c>
      <c r="M49" t="s">
        <v>259</v>
      </c>
      <c r="N49">
        <v>0.50409999999999999</v>
      </c>
      <c r="O49" s="8">
        <f>Table13456789101112132[[#This Row],[Offloading Litres]]*Table13456789101112132[[#This Row],[Rate]]</f>
        <v>19525.809399999998</v>
      </c>
      <c r="P49" s="9" t="s">
        <v>245</v>
      </c>
      <c r="Q49" t="s">
        <v>517</v>
      </c>
    </row>
    <row r="50" spans="1:20" x14ac:dyDescent="0.3">
      <c r="A50" s="7">
        <v>45660</v>
      </c>
      <c r="B50" s="7">
        <v>45665</v>
      </c>
      <c r="C50" t="s">
        <v>23</v>
      </c>
      <c r="D50" t="s">
        <v>47</v>
      </c>
      <c r="E50" t="s">
        <v>40</v>
      </c>
      <c r="F50">
        <v>421712630</v>
      </c>
      <c r="G50">
        <v>802149091</v>
      </c>
      <c r="H50">
        <v>43609</v>
      </c>
      <c r="I50">
        <v>43956</v>
      </c>
      <c r="J50">
        <f>Table13456789101112132[[#This Row],[Offloading Litres]]-Table13456789101112132[[#This Row],[LOADED LITRES]]</f>
        <v>347</v>
      </c>
      <c r="K50" t="s">
        <v>25</v>
      </c>
      <c r="L50">
        <v>75163630</v>
      </c>
      <c r="M50" t="s">
        <v>109</v>
      </c>
      <c r="N50">
        <v>0.73640000000000005</v>
      </c>
      <c r="O50" s="8">
        <f>Table13456789101112132[[#This Row],[Offloading Litres]]*Table13456789101112132[[#This Row],[Rate]]</f>
        <v>32369.198400000001</v>
      </c>
      <c r="P50" s="9" t="s">
        <v>48</v>
      </c>
      <c r="Q50" t="s">
        <v>500</v>
      </c>
    </row>
    <row r="51" spans="1:20" x14ac:dyDescent="0.3">
      <c r="A51" s="7">
        <v>45673</v>
      </c>
      <c r="B51" s="7">
        <v>45674</v>
      </c>
      <c r="C51" t="s">
        <v>28</v>
      </c>
      <c r="D51" t="s">
        <v>47</v>
      </c>
      <c r="E51" t="s">
        <v>16</v>
      </c>
      <c r="F51">
        <v>421943345</v>
      </c>
      <c r="G51">
        <v>802196733</v>
      </c>
      <c r="H51">
        <v>39510</v>
      </c>
      <c r="I51">
        <v>39749</v>
      </c>
      <c r="J51">
        <f>Table13456789101112132[[#This Row],[Offloading Litres]]-Table13456789101112132[[#This Row],[LOADED LITRES]]</f>
        <v>239</v>
      </c>
      <c r="K51" t="s">
        <v>32</v>
      </c>
      <c r="L51">
        <v>75215385</v>
      </c>
      <c r="M51" t="s">
        <v>142</v>
      </c>
      <c r="N51">
        <v>0.68220000000000003</v>
      </c>
      <c r="O51" s="8">
        <f>Table13456789101112132[[#This Row],[Offloading Litres]]*Table13456789101112132[[#This Row],[Rate]]</f>
        <v>27116.767800000001</v>
      </c>
      <c r="P51" s="9" t="s">
        <v>84</v>
      </c>
      <c r="Q51" t="s">
        <v>214</v>
      </c>
    </row>
    <row r="52" spans="1:20" x14ac:dyDescent="0.3">
      <c r="A52" s="7">
        <v>45675</v>
      </c>
      <c r="B52" s="7">
        <v>45677</v>
      </c>
      <c r="C52" t="s">
        <v>28</v>
      </c>
      <c r="D52" t="s">
        <v>47</v>
      </c>
      <c r="E52" t="s">
        <v>16</v>
      </c>
      <c r="F52">
        <v>421959737</v>
      </c>
      <c r="G52">
        <v>802203791</v>
      </c>
      <c r="H52">
        <v>39424</v>
      </c>
      <c r="I52">
        <v>39721</v>
      </c>
      <c r="J52">
        <f>Table13456789101112132[[#This Row],[Offloading Litres]]-Table13456789101112132[[#This Row],[LOADED LITRES]]</f>
        <v>297</v>
      </c>
      <c r="K52" t="s">
        <v>32</v>
      </c>
      <c r="L52">
        <v>75223380</v>
      </c>
      <c r="M52" t="s">
        <v>162</v>
      </c>
      <c r="N52">
        <v>0.68220000000000003</v>
      </c>
      <c r="O52" s="8">
        <f>Table13456789101112132[[#This Row],[Offloading Litres]]*Table13456789101112132[[#This Row],[Rate]]</f>
        <v>27097.6662</v>
      </c>
      <c r="P52" s="9" t="s">
        <v>89</v>
      </c>
      <c r="Q52" t="s">
        <v>208</v>
      </c>
    </row>
    <row r="53" spans="1:20" x14ac:dyDescent="0.3">
      <c r="A53" s="7">
        <v>45678</v>
      </c>
      <c r="B53" s="7">
        <v>45679</v>
      </c>
      <c r="C53" t="s">
        <v>28</v>
      </c>
      <c r="D53" t="s">
        <v>47</v>
      </c>
      <c r="E53" t="s">
        <v>16</v>
      </c>
      <c r="F53">
        <v>421720981</v>
      </c>
      <c r="G53">
        <v>802214295</v>
      </c>
      <c r="H53">
        <v>44061</v>
      </c>
      <c r="I53">
        <v>44359</v>
      </c>
      <c r="J53">
        <f>Table13456789101112132[[#This Row],[Offloading Litres]]-Table13456789101112132[[#This Row],[LOADED LITRES]]</f>
        <v>298</v>
      </c>
      <c r="K53" t="s">
        <v>25</v>
      </c>
      <c r="L53">
        <v>75233743</v>
      </c>
      <c r="M53" t="s">
        <v>169</v>
      </c>
      <c r="N53">
        <v>0.68220000000000003</v>
      </c>
      <c r="O53" s="8">
        <f>Table13456789101112132[[#This Row],[Offloading Litres]]*Table13456789101112132[[#This Row],[Rate]]</f>
        <v>30261.709800000001</v>
      </c>
      <c r="P53" s="9" t="s">
        <v>94</v>
      </c>
      <c r="Q53" t="s">
        <v>203</v>
      </c>
    </row>
    <row r="54" spans="1:20" x14ac:dyDescent="0.3">
      <c r="A54" s="7">
        <v>45681</v>
      </c>
      <c r="B54" s="7">
        <v>45682</v>
      </c>
      <c r="C54" t="s">
        <v>28</v>
      </c>
      <c r="D54" t="s">
        <v>47</v>
      </c>
      <c r="E54" t="s">
        <v>16</v>
      </c>
      <c r="F54">
        <v>421721450</v>
      </c>
      <c r="G54">
        <v>802226939</v>
      </c>
      <c r="H54">
        <v>44031</v>
      </c>
      <c r="I54">
        <v>44189</v>
      </c>
      <c r="J54">
        <f>Table13456789101112132[[#This Row],[Offloading Litres]]-Table13456789101112132[[#This Row],[LOADED LITRES]]</f>
        <v>158</v>
      </c>
      <c r="K54" t="s">
        <v>25</v>
      </c>
      <c r="L54">
        <v>75247735</v>
      </c>
      <c r="M54" s="15" t="s">
        <v>175</v>
      </c>
      <c r="N54">
        <v>0.68220000000000003</v>
      </c>
      <c r="O54" s="8">
        <f>Table13456789101112132[[#This Row],[Offloading Litres]]*Table13456789101112132[[#This Row],[Rate]]</f>
        <v>30145.735800000002</v>
      </c>
      <c r="P54" s="9" t="s">
        <v>101</v>
      </c>
      <c r="Q54" t="s">
        <v>268</v>
      </c>
    </row>
    <row r="55" spans="1:20" x14ac:dyDescent="0.3">
      <c r="A55" s="7">
        <v>45683</v>
      </c>
      <c r="B55" s="7">
        <v>45685</v>
      </c>
      <c r="C55" t="s">
        <v>28</v>
      </c>
      <c r="D55" t="s">
        <v>47</v>
      </c>
      <c r="E55" t="s">
        <v>16</v>
      </c>
      <c r="F55">
        <v>422162563</v>
      </c>
      <c r="G55">
        <v>802231411</v>
      </c>
      <c r="H55">
        <v>43924</v>
      </c>
      <c r="I55">
        <v>44230</v>
      </c>
      <c r="J55">
        <f>Table13456789101112132[[#This Row],[Offloading Litres]]-Table13456789101112132[[#This Row],[LOADED LITRES]]</f>
        <v>306</v>
      </c>
      <c r="K55" t="s">
        <v>25</v>
      </c>
      <c r="L55">
        <v>75252786</v>
      </c>
      <c r="M55" s="15" t="s">
        <v>182</v>
      </c>
      <c r="N55">
        <v>0.68220000000000003</v>
      </c>
      <c r="O55" s="8">
        <f>Table13456789101112132[[#This Row],[Offloading Litres]]*Table13456789101112132[[#This Row],[Rate]]</f>
        <v>30173.706000000002</v>
      </c>
      <c r="P55" s="9" t="s">
        <v>148</v>
      </c>
      <c r="Q55" t="s">
        <v>276</v>
      </c>
    </row>
    <row r="56" spans="1:20" x14ac:dyDescent="0.3">
      <c r="A56" s="11">
        <v>45686</v>
      </c>
      <c r="B56" s="11">
        <v>45688</v>
      </c>
      <c r="C56" s="12" t="s">
        <v>103</v>
      </c>
      <c r="D56" s="12" t="s">
        <v>47</v>
      </c>
      <c r="E56" s="12" t="s">
        <v>16</v>
      </c>
      <c r="F56" s="12">
        <v>422164250</v>
      </c>
      <c r="G56" s="12">
        <v>802246348</v>
      </c>
      <c r="H56" s="12">
        <v>39402</v>
      </c>
      <c r="I56" s="12">
        <v>39683</v>
      </c>
      <c r="J56" s="12">
        <f>Table13456789101112132[[#This Row],[Offloading Litres]]-Table13456789101112132[[#This Row],[LOADED LITRES]]</f>
        <v>281</v>
      </c>
      <c r="K56" s="12" t="s">
        <v>32</v>
      </c>
      <c r="L56" s="12">
        <v>75767934</v>
      </c>
      <c r="M56" s="12" t="s">
        <v>227</v>
      </c>
      <c r="N56" s="12">
        <v>0.68220000000000003</v>
      </c>
      <c r="O56" s="13">
        <f>Table13456789101112132[[#This Row],[Offloading Litres]]*Table13456789101112132[[#This Row],[Rate]]</f>
        <v>27071.742600000001</v>
      </c>
      <c r="P56" s="14" t="s">
        <v>192</v>
      </c>
      <c r="Q56" s="12" t="s">
        <v>283</v>
      </c>
      <c r="R56" s="12"/>
      <c r="S56" s="12"/>
      <c r="T56" s="12"/>
    </row>
    <row r="57" spans="1:20" x14ac:dyDescent="0.3">
      <c r="A57" s="7">
        <v>45659</v>
      </c>
      <c r="B57" s="7">
        <v>45661</v>
      </c>
      <c r="C57" t="s">
        <v>21</v>
      </c>
      <c r="D57" t="s">
        <v>15</v>
      </c>
      <c r="E57" t="s">
        <v>16</v>
      </c>
      <c r="F57">
        <v>421319804</v>
      </c>
      <c r="G57">
        <v>802145651</v>
      </c>
      <c r="H57">
        <v>39113</v>
      </c>
      <c r="I57">
        <v>39427</v>
      </c>
      <c r="J57">
        <f>Table13456789101112132[[#This Row],[Offloading Litres]]-Table13456789101112132[[#This Row],[LOADED LITRES]]</f>
        <v>314</v>
      </c>
      <c r="K57" t="s">
        <v>32</v>
      </c>
      <c r="L57">
        <v>75159190</v>
      </c>
      <c r="M57" t="s">
        <v>104</v>
      </c>
      <c r="N57">
        <v>0.68110000000000004</v>
      </c>
      <c r="O57" s="8">
        <f>Table13456789101112132[[#This Row],[Offloading Litres]]*Table13456789101112132[[#This Row],[Rate]]</f>
        <v>26853.7297</v>
      </c>
      <c r="P57" s="9" t="s">
        <v>42</v>
      </c>
      <c r="Q57" t="s">
        <v>196</v>
      </c>
    </row>
    <row r="58" spans="1:20" x14ac:dyDescent="0.3">
      <c r="A58" s="7">
        <v>45662</v>
      </c>
      <c r="B58" s="7">
        <v>45663</v>
      </c>
      <c r="C58" t="s">
        <v>21</v>
      </c>
      <c r="D58" t="s">
        <v>15</v>
      </c>
      <c r="E58" t="s">
        <v>40</v>
      </c>
      <c r="F58">
        <v>421712637</v>
      </c>
      <c r="G58">
        <v>802151440</v>
      </c>
      <c r="H58">
        <v>44296</v>
      </c>
      <c r="I58">
        <v>44701</v>
      </c>
      <c r="J58">
        <f>Table13456789101112132[[#This Row],[Offloading Litres]]-Table13456789101112132[[#This Row],[LOADED LITRES]]</f>
        <v>405</v>
      </c>
      <c r="K58" t="s">
        <v>25</v>
      </c>
      <c r="L58">
        <v>75166624</v>
      </c>
      <c r="M58" t="s">
        <v>117</v>
      </c>
      <c r="N58">
        <v>0.73640000000000005</v>
      </c>
      <c r="O58" s="8">
        <f>Table13456789101112132[[#This Row],[Offloading Litres]]*Table13456789101112132[[#This Row],[Rate]]</f>
        <v>32917.816400000003</v>
      </c>
      <c r="P58" s="9" t="s">
        <v>54</v>
      </c>
      <c r="Q58" t="s">
        <v>494</v>
      </c>
    </row>
    <row r="59" spans="1:20" x14ac:dyDescent="0.3">
      <c r="A59" s="7">
        <v>45664</v>
      </c>
      <c r="B59" s="7">
        <v>45665</v>
      </c>
      <c r="C59" t="s">
        <v>21</v>
      </c>
      <c r="D59" t="s">
        <v>15</v>
      </c>
      <c r="E59" t="s">
        <v>16</v>
      </c>
      <c r="F59">
        <v>421505123</v>
      </c>
      <c r="G59">
        <v>802157246</v>
      </c>
      <c r="H59">
        <v>44512</v>
      </c>
      <c r="I59">
        <v>44565</v>
      </c>
      <c r="J59">
        <f>Table13456789101112132[[#This Row],[Offloading Litres]]-Table13456789101112132[[#This Row],[LOADED LITRES]]</f>
        <v>53</v>
      </c>
      <c r="K59" t="s">
        <v>25</v>
      </c>
      <c r="L59">
        <v>75172936</v>
      </c>
      <c r="M59" t="s">
        <v>121</v>
      </c>
      <c r="N59">
        <v>0.68110000000000004</v>
      </c>
      <c r="O59" s="8">
        <f>Table13456789101112132[[#This Row],[Offloading Litres]]*Table13456789101112132[[#This Row],[Rate]]</f>
        <v>30353.221500000003</v>
      </c>
      <c r="P59" s="9" t="s">
        <v>59</v>
      </c>
      <c r="Q59" t="s">
        <v>501</v>
      </c>
    </row>
    <row r="60" spans="1:20" x14ac:dyDescent="0.3">
      <c r="A60" s="7">
        <v>45666</v>
      </c>
      <c r="B60" s="7">
        <v>45667</v>
      </c>
      <c r="C60" t="s">
        <v>21</v>
      </c>
      <c r="D60" t="s">
        <v>15</v>
      </c>
      <c r="E60" t="s">
        <v>16</v>
      </c>
      <c r="F60">
        <v>421505127</v>
      </c>
      <c r="G60">
        <v>802169870</v>
      </c>
      <c r="H60">
        <v>44356</v>
      </c>
      <c r="I60">
        <v>44853</v>
      </c>
      <c r="J60">
        <f>Table13456789101112132[[#This Row],[Offloading Litres]]-Table13456789101112132[[#This Row],[LOADED LITRES]]</f>
        <v>497</v>
      </c>
      <c r="K60" t="s">
        <v>25</v>
      </c>
      <c r="L60">
        <v>75186596</v>
      </c>
      <c r="M60" t="s">
        <v>128</v>
      </c>
      <c r="N60">
        <v>0.68110000000000004</v>
      </c>
      <c r="O60" s="8">
        <f>Table13456789101112132[[#This Row],[Offloading Litres]]*Table13456789101112132[[#This Row],[Rate]]</f>
        <v>30549.3783</v>
      </c>
      <c r="P60" s="9" t="s">
        <v>65</v>
      </c>
      <c r="Q60" t="s">
        <v>510</v>
      </c>
    </row>
    <row r="61" spans="1:20" x14ac:dyDescent="0.3">
      <c r="A61" s="7">
        <v>45668</v>
      </c>
      <c r="B61" s="7">
        <v>45670</v>
      </c>
      <c r="C61" t="s">
        <v>21</v>
      </c>
      <c r="D61" t="s">
        <v>15</v>
      </c>
      <c r="E61" t="s">
        <v>16</v>
      </c>
      <c r="F61">
        <v>421505163</v>
      </c>
      <c r="G61">
        <v>802176281</v>
      </c>
      <c r="H61">
        <v>44325</v>
      </c>
      <c r="I61">
        <v>44580</v>
      </c>
      <c r="J61">
        <f>Table13456789101112132[[#This Row],[Offloading Litres]]-Table13456789101112132[[#This Row],[LOADED LITRES]]</f>
        <v>255</v>
      </c>
      <c r="K61" t="s">
        <v>25</v>
      </c>
      <c r="L61">
        <v>75193836</v>
      </c>
      <c r="M61" t="s">
        <v>134</v>
      </c>
      <c r="N61">
        <v>0.68110000000000004</v>
      </c>
      <c r="O61" s="8">
        <f>Table13456789101112132[[#This Row],[Offloading Litres]]*Table13456789101112132[[#This Row],[Rate]]</f>
        <v>30363.438000000002</v>
      </c>
      <c r="P61" s="9" t="s">
        <v>71</v>
      </c>
      <c r="Q61" t="s">
        <v>219</v>
      </c>
    </row>
    <row r="62" spans="1:20" x14ac:dyDescent="0.3">
      <c r="A62" s="7">
        <v>45674</v>
      </c>
      <c r="B62" s="7">
        <v>45674</v>
      </c>
      <c r="C62" t="s">
        <v>34</v>
      </c>
      <c r="D62" t="s">
        <v>15</v>
      </c>
      <c r="E62" t="s">
        <v>16</v>
      </c>
      <c r="F62">
        <v>421943366</v>
      </c>
      <c r="G62">
        <v>802196819</v>
      </c>
      <c r="H62">
        <v>38724</v>
      </c>
      <c r="I62">
        <v>38937</v>
      </c>
      <c r="J62">
        <f>Table13456789101112132[[#This Row],[Offloading Litres]]-Table13456789101112132[[#This Row],[LOADED LITRES]]</f>
        <v>213</v>
      </c>
      <c r="K62" t="s">
        <v>32</v>
      </c>
      <c r="L62">
        <v>75215555</v>
      </c>
      <c r="M62" t="s">
        <v>158</v>
      </c>
      <c r="N62">
        <v>0.68220000000000003</v>
      </c>
      <c r="O62" s="8">
        <f>Table13456789101112132[[#This Row],[Offloading Litres]]*Table13456789101112132[[#This Row],[Rate]]</f>
        <v>26562.821400000001</v>
      </c>
      <c r="P62" s="9" t="s">
        <v>86</v>
      </c>
      <c r="Q62" t="s">
        <v>213</v>
      </c>
    </row>
    <row r="63" spans="1:20" x14ac:dyDescent="0.3">
      <c r="A63" s="7">
        <v>45675</v>
      </c>
      <c r="B63" s="7">
        <v>45677</v>
      </c>
      <c r="C63" t="s">
        <v>23</v>
      </c>
      <c r="D63" t="s">
        <v>15</v>
      </c>
      <c r="E63" t="s">
        <v>16</v>
      </c>
      <c r="F63">
        <v>421959736</v>
      </c>
      <c r="G63">
        <v>802203804</v>
      </c>
      <c r="H63">
        <v>38640</v>
      </c>
      <c r="I63">
        <v>38937</v>
      </c>
      <c r="J63">
        <f>Table13456789101112132[[#This Row],[Offloading Litres]]-Table13456789101112132[[#This Row],[LOADED LITRES]]</f>
        <v>297</v>
      </c>
      <c r="K63" t="s">
        <v>32</v>
      </c>
      <c r="L63">
        <v>75223384</v>
      </c>
      <c r="M63" t="s">
        <v>163</v>
      </c>
      <c r="N63">
        <v>0.68220000000000003</v>
      </c>
      <c r="O63" s="8">
        <f>Table13456789101112132[[#This Row],[Offloading Litres]]*Table13456789101112132[[#This Row],[Rate]]</f>
        <v>26562.821400000001</v>
      </c>
      <c r="P63" s="9" t="s">
        <v>90</v>
      </c>
      <c r="Q63" t="s">
        <v>209</v>
      </c>
    </row>
    <row r="64" spans="1:20" x14ac:dyDescent="0.3">
      <c r="A64" s="7">
        <v>45678</v>
      </c>
      <c r="B64" s="7">
        <v>45679</v>
      </c>
      <c r="C64" t="s">
        <v>34</v>
      </c>
      <c r="D64" t="s">
        <v>15</v>
      </c>
      <c r="E64" t="s">
        <v>16</v>
      </c>
      <c r="F64">
        <v>421720975</v>
      </c>
      <c r="G64">
        <v>802214243</v>
      </c>
      <c r="H64">
        <v>43766</v>
      </c>
      <c r="I64">
        <v>44014</v>
      </c>
      <c r="J64">
        <f>Table13456789101112132[[#This Row],[Offloading Litres]]-Table13456789101112132[[#This Row],[LOADED LITRES]]</f>
        <v>248</v>
      </c>
      <c r="K64" t="s">
        <v>25</v>
      </c>
      <c r="L64">
        <v>75233700</v>
      </c>
      <c r="M64" t="s">
        <v>166</v>
      </c>
      <c r="N64">
        <v>0.68220000000000003</v>
      </c>
      <c r="O64" s="8">
        <f>Table13456789101112132[[#This Row],[Offloading Litres]]*Table13456789101112132[[#This Row],[Rate]]</f>
        <v>30026.3508</v>
      </c>
      <c r="P64" s="9" t="s">
        <v>95</v>
      </c>
      <c r="Q64" t="s">
        <v>204</v>
      </c>
    </row>
    <row r="65" spans="1:20" x14ac:dyDescent="0.3">
      <c r="A65" s="7">
        <v>45680</v>
      </c>
      <c r="B65" s="7">
        <v>45681</v>
      </c>
      <c r="C65" t="s">
        <v>23</v>
      </c>
      <c r="D65" t="s">
        <v>15</v>
      </c>
      <c r="E65" t="s">
        <v>16</v>
      </c>
      <c r="F65">
        <v>421721267</v>
      </c>
      <c r="G65">
        <v>802220146</v>
      </c>
      <c r="H65">
        <v>43876</v>
      </c>
      <c r="I65">
        <v>44264</v>
      </c>
      <c r="J65">
        <f>Table13456789101112132[[#This Row],[Offloading Litres]]-Table13456789101112132[[#This Row],[LOADED LITRES]]</f>
        <v>388</v>
      </c>
      <c r="K65" t="s">
        <v>25</v>
      </c>
      <c r="L65">
        <v>75239903</v>
      </c>
      <c r="M65" t="s">
        <v>171</v>
      </c>
      <c r="N65">
        <v>0.68220000000000003</v>
      </c>
      <c r="O65" s="8">
        <f>Table13456789101112132[[#This Row],[Offloading Litres]]*Table13456789101112132[[#This Row],[Rate]]</f>
        <v>30196.900800000003</v>
      </c>
      <c r="P65" s="9" t="s">
        <v>99</v>
      </c>
      <c r="Q65" t="s">
        <v>200</v>
      </c>
    </row>
    <row r="66" spans="1:20" x14ac:dyDescent="0.3">
      <c r="A66" s="7">
        <v>45681</v>
      </c>
      <c r="B66" s="7">
        <v>45682</v>
      </c>
      <c r="C66" t="s">
        <v>34</v>
      </c>
      <c r="D66" t="s">
        <v>15</v>
      </c>
      <c r="E66" t="s">
        <v>16</v>
      </c>
      <c r="F66">
        <v>421721279</v>
      </c>
      <c r="G66">
        <v>802225097</v>
      </c>
      <c r="H66">
        <v>43763</v>
      </c>
      <c r="I66">
        <v>43945</v>
      </c>
      <c r="J66">
        <f>Table13456789101112132[[#This Row],[Offloading Litres]]-Table13456789101112132[[#This Row],[LOADED LITRES]]</f>
        <v>182</v>
      </c>
      <c r="K66" t="s">
        <v>25</v>
      </c>
      <c r="L66">
        <v>75245319</v>
      </c>
      <c r="M66" t="s">
        <v>173</v>
      </c>
      <c r="N66">
        <v>0.68220000000000003</v>
      </c>
      <c r="O66" s="8">
        <f>Table13456789101112132[[#This Row],[Offloading Litres]]*Table13456789101112132[[#This Row],[Rate]]</f>
        <v>29979.279000000002</v>
      </c>
      <c r="P66" s="9" t="s">
        <v>154</v>
      </c>
      <c r="Q66" t="s">
        <v>270</v>
      </c>
    </row>
    <row r="67" spans="1:20" x14ac:dyDescent="0.3">
      <c r="A67" s="7">
        <v>45683</v>
      </c>
      <c r="B67" s="7">
        <v>45686</v>
      </c>
      <c r="C67" t="s">
        <v>34</v>
      </c>
      <c r="D67" t="s">
        <v>15</v>
      </c>
      <c r="E67" t="s">
        <v>16</v>
      </c>
      <c r="F67">
        <v>422164233</v>
      </c>
      <c r="G67">
        <v>802231468</v>
      </c>
      <c r="H67">
        <v>38587</v>
      </c>
      <c r="I67">
        <v>38736</v>
      </c>
      <c r="J67">
        <f>Table13456789101112132[[#This Row],[Offloading Litres]]-Table13456789101112132[[#This Row],[LOADED LITRES]]</f>
        <v>149</v>
      </c>
      <c r="K67" t="s">
        <v>32</v>
      </c>
      <c r="L67">
        <v>75252864</v>
      </c>
      <c r="M67" t="s">
        <v>184</v>
      </c>
      <c r="N67">
        <v>0.68220000000000003</v>
      </c>
      <c r="O67" s="8">
        <f>Table13456789101112132[[#This Row],[Offloading Litres]]*Table13456789101112132[[#This Row],[Rate]]</f>
        <v>26425.699200000003</v>
      </c>
      <c r="P67" s="9" t="s">
        <v>149</v>
      </c>
      <c r="Q67" t="s">
        <v>279</v>
      </c>
    </row>
    <row r="68" spans="1:20" x14ac:dyDescent="0.3">
      <c r="A68" s="11">
        <v>45687</v>
      </c>
      <c r="B68" s="11">
        <v>45687</v>
      </c>
      <c r="C68" s="12" t="s">
        <v>34</v>
      </c>
      <c r="D68" s="12" t="s">
        <v>15</v>
      </c>
      <c r="E68" s="12" t="s">
        <v>187</v>
      </c>
      <c r="F68" s="12">
        <v>422509501</v>
      </c>
      <c r="G68" s="12">
        <v>802247442</v>
      </c>
      <c r="H68" s="12">
        <v>43447</v>
      </c>
      <c r="I68" s="12">
        <v>43937</v>
      </c>
      <c r="J68" s="12">
        <f>Table13456789101112132[[#This Row],[Offloading Litres]]-Table13456789101112132[[#This Row],[LOADED LITRES]]</f>
        <v>490</v>
      </c>
      <c r="K68" s="12" t="s">
        <v>25</v>
      </c>
      <c r="L68" s="12">
        <v>75268509</v>
      </c>
      <c r="M68" s="12" t="s">
        <v>230</v>
      </c>
      <c r="N68" s="12">
        <v>0.75290000000000001</v>
      </c>
      <c r="O68" s="13">
        <f>Table13456789101112132[[#This Row],[Offloading Litres]]*Table13456789101112132[[#This Row],[Rate]]</f>
        <v>33080.167300000001</v>
      </c>
      <c r="P68" s="14" t="s">
        <v>191</v>
      </c>
      <c r="Q68" s="12" t="s">
        <v>284</v>
      </c>
      <c r="R68" s="12"/>
      <c r="S68" s="12"/>
      <c r="T68" s="12"/>
    </row>
    <row r="69" spans="1:20" x14ac:dyDescent="0.3">
      <c r="A69" s="7">
        <v>45672</v>
      </c>
      <c r="B69" s="7">
        <v>45673</v>
      </c>
      <c r="C69" t="s">
        <v>34</v>
      </c>
      <c r="D69" t="s">
        <v>15</v>
      </c>
      <c r="E69" t="s">
        <v>243</v>
      </c>
      <c r="F69">
        <v>422060465</v>
      </c>
      <c r="G69">
        <v>802191343</v>
      </c>
      <c r="H69">
        <v>38771</v>
      </c>
      <c r="I69">
        <v>38774</v>
      </c>
      <c r="J69">
        <f>Table13456789101112132[[#This Row],[Offloading Litres]]-Table13456789101112132[[#This Row],[LOADED LITRES]]</f>
        <v>3</v>
      </c>
      <c r="K69" t="s">
        <v>32</v>
      </c>
      <c r="L69" s="17" t="s">
        <v>246</v>
      </c>
      <c r="M69" t="s">
        <v>260</v>
      </c>
      <c r="N69">
        <v>0.50409999999999999</v>
      </c>
      <c r="O69" s="8">
        <f>Table13456789101112132[[#This Row],[Offloading Litres]]*Table13456789101112132[[#This Row],[Rate]]</f>
        <v>19545.973399999999</v>
      </c>
      <c r="P69" s="9" t="s">
        <v>247</v>
      </c>
      <c r="Q69" t="s">
        <v>515</v>
      </c>
    </row>
    <row r="70" spans="1:20" x14ac:dyDescent="0.3">
      <c r="A70" s="7">
        <v>45660</v>
      </c>
      <c r="B70" s="7">
        <v>45661</v>
      </c>
      <c r="C70" t="s">
        <v>29</v>
      </c>
      <c r="D70" t="s">
        <v>24</v>
      </c>
      <c r="E70" t="s">
        <v>40</v>
      </c>
      <c r="F70">
        <v>421712632</v>
      </c>
      <c r="G70">
        <v>802149121</v>
      </c>
      <c r="H70">
        <v>43654</v>
      </c>
      <c r="I70">
        <v>44082</v>
      </c>
      <c r="J70">
        <f>Table13456789101112132[[#This Row],[Offloading Litres]]-Table13456789101112132[[#This Row],[LOADED LITRES]]</f>
        <v>428</v>
      </c>
      <c r="K70" t="s">
        <v>25</v>
      </c>
      <c r="L70">
        <v>75163637</v>
      </c>
      <c r="M70" t="s">
        <v>112</v>
      </c>
      <c r="N70">
        <v>0.73640000000000005</v>
      </c>
      <c r="O70" s="8">
        <f>Table13456789101112132[[#This Row],[Offloading Litres]]*Table13456789101112132[[#This Row],[Rate]]</f>
        <v>32461.984800000002</v>
      </c>
      <c r="P70" s="9" t="s">
        <v>49</v>
      </c>
      <c r="Q70" t="s">
        <v>491</v>
      </c>
    </row>
    <row r="71" spans="1:20" x14ac:dyDescent="0.3">
      <c r="A71" s="7">
        <v>45662</v>
      </c>
      <c r="B71" s="7">
        <v>45663</v>
      </c>
      <c r="C71" t="s">
        <v>30</v>
      </c>
      <c r="D71" t="s">
        <v>24</v>
      </c>
      <c r="E71" t="s">
        <v>16</v>
      </c>
      <c r="F71">
        <v>421505184</v>
      </c>
      <c r="G71">
        <v>802152067</v>
      </c>
      <c r="H71">
        <v>38623</v>
      </c>
      <c r="I71">
        <v>38811</v>
      </c>
      <c r="J71">
        <f>Table13456789101112132[[#This Row],[Offloading Litres]]-Table13456789101112132[[#This Row],[LOADED LITRES]]</f>
        <v>188</v>
      </c>
      <c r="K71" t="s">
        <v>32</v>
      </c>
      <c r="L71">
        <v>75167472</v>
      </c>
      <c r="M71" t="s">
        <v>118</v>
      </c>
      <c r="N71">
        <v>0.68110000000000004</v>
      </c>
      <c r="O71" s="8">
        <f>Table13456789101112132[[#This Row],[Offloading Litres]]*Table13456789101112132[[#This Row],[Rate]]</f>
        <v>26434.1721</v>
      </c>
      <c r="P71" s="9" t="s">
        <v>55</v>
      </c>
      <c r="Q71" t="s">
        <v>495</v>
      </c>
    </row>
    <row r="72" spans="1:20" s="12" customFormat="1" x14ac:dyDescent="0.3">
      <c r="A72" s="7">
        <v>45667</v>
      </c>
      <c r="B72" s="7">
        <v>45667</v>
      </c>
      <c r="C72" t="s">
        <v>30</v>
      </c>
      <c r="D72" t="s">
        <v>24</v>
      </c>
      <c r="E72" t="s">
        <v>16</v>
      </c>
      <c r="F72">
        <v>421505333</v>
      </c>
      <c r="G72">
        <v>802170382</v>
      </c>
      <c r="H72">
        <v>38664</v>
      </c>
      <c r="I72">
        <v>39013</v>
      </c>
      <c r="J72">
        <f>Table13456789101112132[[#This Row],[Offloading Litres]]-Table13456789101112132[[#This Row],[LOADED LITRES]]</f>
        <v>349</v>
      </c>
      <c r="K72" t="s">
        <v>32</v>
      </c>
      <c r="L72">
        <v>75186910</v>
      </c>
      <c r="M72" t="s">
        <v>129</v>
      </c>
      <c r="N72">
        <v>0.68110000000000004</v>
      </c>
      <c r="O72" s="8">
        <f>Table13456789101112132[[#This Row],[Offloading Litres]]*Table13456789101112132[[#This Row],[Rate]]</f>
        <v>26571.754300000001</v>
      </c>
      <c r="P72" s="9" t="s">
        <v>66</v>
      </c>
      <c r="Q72" t="s">
        <v>512</v>
      </c>
      <c r="R72"/>
      <c r="S72"/>
      <c r="T72"/>
    </row>
    <row r="73" spans="1:20" s="12" customFormat="1" x14ac:dyDescent="0.3">
      <c r="A73" s="7">
        <v>45671</v>
      </c>
      <c r="B73" s="7">
        <v>45672</v>
      </c>
      <c r="C73" t="s">
        <v>30</v>
      </c>
      <c r="D73" t="s">
        <v>24</v>
      </c>
      <c r="E73" t="s">
        <v>16</v>
      </c>
      <c r="F73">
        <v>421720930</v>
      </c>
      <c r="G73">
        <v>802184291</v>
      </c>
      <c r="H73">
        <v>43792</v>
      </c>
      <c r="I73">
        <v>44068</v>
      </c>
      <c r="J73">
        <f>Table13456789101112132[[#This Row],[Offloading Litres]]-Table13456789101112132[[#This Row],[LOADED LITRES]]</f>
        <v>276</v>
      </c>
      <c r="K73" t="s">
        <v>25</v>
      </c>
      <c r="L73">
        <v>75202430</v>
      </c>
      <c r="M73" t="s">
        <v>157</v>
      </c>
      <c r="N73">
        <v>0.68110000000000004</v>
      </c>
      <c r="O73" s="8">
        <f>Table13456789101112132[[#This Row],[Offloading Litres]]*Table13456789101112132[[#This Row],[Rate]]</f>
        <v>30014.714800000002</v>
      </c>
      <c r="P73" s="9" t="s">
        <v>78</v>
      </c>
      <c r="Q73" t="s">
        <v>216</v>
      </c>
      <c r="R73"/>
      <c r="S73"/>
      <c r="T73"/>
    </row>
    <row r="74" spans="1:20" s="12" customFormat="1" x14ac:dyDescent="0.3">
      <c r="A74" s="7">
        <v>45674</v>
      </c>
      <c r="B74" s="7">
        <v>45677</v>
      </c>
      <c r="C74" t="s">
        <v>29</v>
      </c>
      <c r="D74" t="s">
        <v>24</v>
      </c>
      <c r="E74" t="s">
        <v>16</v>
      </c>
      <c r="F74">
        <v>421943384</v>
      </c>
      <c r="G74">
        <v>802201893</v>
      </c>
      <c r="H74">
        <v>39500</v>
      </c>
      <c r="I74">
        <v>39792</v>
      </c>
      <c r="J74">
        <f>Table13456789101112132[[#This Row],[Offloading Litres]]-Table13456789101112132[[#This Row],[LOADED LITRES]]</f>
        <v>292</v>
      </c>
      <c r="K74" t="s">
        <v>32</v>
      </c>
      <c r="L74">
        <v>75221103</v>
      </c>
      <c r="M74" t="s">
        <v>159</v>
      </c>
      <c r="N74">
        <v>0.68220000000000003</v>
      </c>
      <c r="O74" s="8">
        <f>Table13456789101112132[[#This Row],[Offloading Litres]]*Table13456789101112132[[#This Row],[Rate]]</f>
        <v>27146.1024</v>
      </c>
      <c r="P74" s="9" t="s">
        <v>87</v>
      </c>
      <c r="Q74" t="s">
        <v>212</v>
      </c>
      <c r="R74"/>
      <c r="S74"/>
      <c r="T74"/>
    </row>
    <row r="75" spans="1:20" s="12" customFormat="1" x14ac:dyDescent="0.3">
      <c r="A75" s="7">
        <v>45678</v>
      </c>
      <c r="B75" s="7">
        <v>45679</v>
      </c>
      <c r="C75" t="s">
        <v>29</v>
      </c>
      <c r="D75" t="s">
        <v>24</v>
      </c>
      <c r="E75" t="s">
        <v>16</v>
      </c>
      <c r="F75">
        <v>421721203</v>
      </c>
      <c r="G75">
        <v>802214341</v>
      </c>
      <c r="H75">
        <v>44085</v>
      </c>
      <c r="I75">
        <v>44336</v>
      </c>
      <c r="J75">
        <f>Table13456789101112132[[#This Row],[Offloading Litres]]-Table13456789101112132[[#This Row],[LOADED LITRES]]</f>
        <v>251</v>
      </c>
      <c r="K75" t="s">
        <v>25</v>
      </c>
      <c r="L75">
        <v>75233818</v>
      </c>
      <c r="M75" t="s">
        <v>168</v>
      </c>
      <c r="N75">
        <v>0.68220000000000003</v>
      </c>
      <c r="O75" s="8">
        <f>Table13456789101112132[[#This Row],[Offloading Litres]]*Table13456789101112132[[#This Row],[Rate]]</f>
        <v>30246.019200000002</v>
      </c>
      <c r="P75" s="9" t="s">
        <v>96</v>
      </c>
      <c r="Q75" t="s">
        <v>206</v>
      </c>
      <c r="R75"/>
      <c r="S75"/>
      <c r="T75"/>
    </row>
    <row r="76" spans="1:20" s="12" customFormat="1" x14ac:dyDescent="0.3">
      <c r="A76" s="7">
        <v>45681</v>
      </c>
      <c r="B76" s="7">
        <v>45682</v>
      </c>
      <c r="C76" t="s">
        <v>29</v>
      </c>
      <c r="D76" t="s">
        <v>24</v>
      </c>
      <c r="E76" t="s">
        <v>16</v>
      </c>
      <c r="F76">
        <v>422160425</v>
      </c>
      <c r="G76">
        <v>802225984</v>
      </c>
      <c r="H76">
        <v>44013</v>
      </c>
      <c r="I76">
        <v>44288</v>
      </c>
      <c r="J76">
        <f>Table13456789101112132[[#This Row],[Offloading Litres]]-Table13456789101112132[[#This Row],[LOADED LITRES]]</f>
        <v>275</v>
      </c>
      <c r="K76" t="s">
        <v>25</v>
      </c>
      <c r="L76">
        <v>75246584</v>
      </c>
      <c r="M76" s="15" t="s">
        <v>174</v>
      </c>
      <c r="N76">
        <v>0.68220000000000003</v>
      </c>
      <c r="O76" s="8">
        <f>Table13456789101112132[[#This Row],[Offloading Litres]]*Table13456789101112132[[#This Row],[Rate]]</f>
        <v>30213.2736</v>
      </c>
      <c r="P76" s="9" t="s">
        <v>102</v>
      </c>
      <c r="Q76" t="s">
        <v>269</v>
      </c>
      <c r="R76"/>
      <c r="S76"/>
      <c r="T76"/>
    </row>
    <row r="77" spans="1:20" s="12" customFormat="1" x14ac:dyDescent="0.3">
      <c r="A77" s="7">
        <v>45683</v>
      </c>
      <c r="B77" s="7">
        <v>45686</v>
      </c>
      <c r="C77" t="s">
        <v>29</v>
      </c>
      <c r="D77" t="s">
        <v>24</v>
      </c>
      <c r="E77" t="s">
        <v>16</v>
      </c>
      <c r="F77">
        <v>422164238</v>
      </c>
      <c r="G77">
        <v>802231377</v>
      </c>
      <c r="H77">
        <v>39399</v>
      </c>
      <c r="I77">
        <v>39575</v>
      </c>
      <c r="J77">
        <f>Table13456789101112132[[#This Row],[Offloading Litres]]-Table13456789101112132[[#This Row],[LOADED LITRES]]</f>
        <v>176</v>
      </c>
      <c r="K77" t="s">
        <v>32</v>
      </c>
      <c r="L77">
        <v>75252737</v>
      </c>
      <c r="M77" s="15" t="s">
        <v>183</v>
      </c>
      <c r="N77">
        <v>0.68220000000000003</v>
      </c>
      <c r="O77" s="8">
        <f>Table13456789101112132[[#This Row],[Offloading Litres]]*Table13456789101112132[[#This Row],[Rate]]</f>
        <v>26998.065000000002</v>
      </c>
      <c r="P77" s="9" t="s">
        <v>150</v>
      </c>
      <c r="Q77" t="s">
        <v>274</v>
      </c>
      <c r="R77"/>
      <c r="S77"/>
      <c r="T77"/>
    </row>
    <row r="78" spans="1:20" s="12" customFormat="1" x14ac:dyDescent="0.3">
      <c r="A78" s="19">
        <v>45665</v>
      </c>
      <c r="B78" s="19">
        <v>45666</v>
      </c>
      <c r="C78" s="15" t="s">
        <v>30</v>
      </c>
      <c r="D78" s="15" t="s">
        <v>24</v>
      </c>
      <c r="E78" s="15" t="s">
        <v>235</v>
      </c>
      <c r="F78" s="20">
        <v>421801583</v>
      </c>
      <c r="G78" s="15">
        <v>421801583</v>
      </c>
      <c r="H78" s="15">
        <v>39748</v>
      </c>
      <c r="I78" s="15">
        <v>39941</v>
      </c>
      <c r="J78" s="15">
        <f>Table13456789101112132[[#This Row],[Offloading Litres]]-Table13456789101112132[[#This Row],[LOADED LITRES]]</f>
        <v>193</v>
      </c>
      <c r="K78" s="15" t="s">
        <v>236</v>
      </c>
      <c r="L78" s="20" t="s">
        <v>237</v>
      </c>
      <c r="M78" t="s">
        <v>255</v>
      </c>
      <c r="N78" s="15">
        <v>0.65</v>
      </c>
      <c r="O78" s="21">
        <f>Table13456789101112132[[#This Row],[Offloading Litres]]*Table13456789101112132[[#This Row],[Rate]]</f>
        <v>25961.65</v>
      </c>
      <c r="P78" s="16" t="s">
        <v>238</v>
      </c>
      <c r="Q78" s="15" t="s">
        <v>506</v>
      </c>
      <c r="R78" s="15"/>
      <c r="S78" s="15"/>
      <c r="T78" s="15"/>
    </row>
    <row r="79" spans="1:20" s="12" customFormat="1" x14ac:dyDescent="0.3">
      <c r="A79" s="7">
        <v>45669</v>
      </c>
      <c r="B79" s="7">
        <v>45670</v>
      </c>
      <c r="C79" t="s">
        <v>30</v>
      </c>
      <c r="D79" t="s">
        <v>24</v>
      </c>
      <c r="E79" t="s">
        <v>239</v>
      </c>
      <c r="F79">
        <v>421988121</v>
      </c>
      <c r="G79">
        <v>802177718</v>
      </c>
      <c r="H79">
        <v>39648</v>
      </c>
      <c r="I79">
        <v>39670</v>
      </c>
      <c r="J79">
        <f>Table13456789101112132[[#This Row],[Offloading Litres]]-Table13456789101112132[[#This Row],[LOADED LITRES]]</f>
        <v>22</v>
      </c>
      <c r="K79" t="s">
        <v>236</v>
      </c>
      <c r="L79" s="18">
        <v>5420641</v>
      </c>
      <c r="M79" t="s">
        <v>256</v>
      </c>
      <c r="N79">
        <v>0.62119999999999997</v>
      </c>
      <c r="O79" s="8">
        <f>Table13456789101112132[[#This Row],[Offloading Litres]]*Table13456789101112132[[#This Row],[Rate]]</f>
        <v>24643.003999999997</v>
      </c>
      <c r="P79" s="9" t="s">
        <v>240</v>
      </c>
      <c r="Q79" t="s">
        <v>513</v>
      </c>
      <c r="R79"/>
      <c r="S79"/>
      <c r="T79"/>
    </row>
    <row r="80" spans="1:20" s="12" customFormat="1" x14ac:dyDescent="0.3">
      <c r="A80" s="7">
        <v>45687</v>
      </c>
      <c r="B80" s="7">
        <v>45688</v>
      </c>
      <c r="C80" t="s">
        <v>29</v>
      </c>
      <c r="D80" t="s">
        <v>24</v>
      </c>
      <c r="E80" t="s">
        <v>294</v>
      </c>
      <c r="F80" t="s">
        <v>295</v>
      </c>
      <c r="G80" t="s">
        <v>296</v>
      </c>
      <c r="H80">
        <v>40098</v>
      </c>
      <c r="I80">
        <v>40053</v>
      </c>
      <c r="J80">
        <f>Table13456789101112132[[#This Row],[Offloading Litres]]-Table13456789101112132[[#This Row],[LOADED LITRES]]</f>
        <v>-45</v>
      </c>
      <c r="K80" t="s">
        <v>236</v>
      </c>
      <c r="L80" s="17" t="s">
        <v>334</v>
      </c>
      <c r="M80" t="s">
        <v>359</v>
      </c>
      <c r="N80">
        <v>0.5776</v>
      </c>
      <c r="O80" s="8">
        <f>Table13456789101112132[[#This Row],[Offloading Litres]]*Table13456789101112132[[#This Row],[Rate]]</f>
        <v>23134.612799999999</v>
      </c>
      <c r="P80" s="9" t="s">
        <v>297</v>
      </c>
      <c r="Q80" t="s">
        <v>520</v>
      </c>
      <c r="R80"/>
      <c r="S80"/>
      <c r="T80"/>
    </row>
    <row r="81" spans="1:20" s="12" customFormat="1" x14ac:dyDescent="0.3">
      <c r="A81" s="7">
        <v>45663</v>
      </c>
      <c r="B81" s="7">
        <v>45664</v>
      </c>
      <c r="C81" t="s">
        <v>22</v>
      </c>
      <c r="D81" t="s">
        <v>31</v>
      </c>
      <c r="E81" t="s">
        <v>16</v>
      </c>
      <c r="F81">
        <v>421505121</v>
      </c>
      <c r="G81">
        <v>802156536</v>
      </c>
      <c r="H81">
        <v>44050</v>
      </c>
      <c r="I81">
        <v>44168</v>
      </c>
      <c r="J81">
        <f>Table13456789101112132[[#This Row],[Offloading Litres]]-Table13456789101112132[[#This Row],[LOADED LITRES]]</f>
        <v>118</v>
      </c>
      <c r="K81" t="s">
        <v>25</v>
      </c>
      <c r="L81">
        <v>75172294</v>
      </c>
      <c r="M81" t="s">
        <v>120</v>
      </c>
      <c r="N81">
        <v>0.68110000000000004</v>
      </c>
      <c r="O81" s="8">
        <f>Table13456789101112132[[#This Row],[Offloading Litres]]*Table13456789101112132[[#This Row],[Rate]]</f>
        <v>30082.824800000002</v>
      </c>
      <c r="P81" s="9" t="s">
        <v>57</v>
      </c>
      <c r="Q81" t="s">
        <v>499</v>
      </c>
      <c r="R81"/>
      <c r="S81"/>
      <c r="T81"/>
    </row>
    <row r="82" spans="1:20" s="15" customFormat="1" x14ac:dyDescent="0.3">
      <c r="A82" s="7">
        <v>45666</v>
      </c>
      <c r="B82" s="7">
        <v>45667</v>
      </c>
      <c r="C82" t="s">
        <v>22</v>
      </c>
      <c r="D82" t="s">
        <v>31</v>
      </c>
      <c r="E82" t="s">
        <v>16</v>
      </c>
      <c r="F82">
        <v>421505324</v>
      </c>
      <c r="G82">
        <v>802168394</v>
      </c>
      <c r="H82">
        <v>39602</v>
      </c>
      <c r="I82">
        <v>39822</v>
      </c>
      <c r="J82">
        <f>Table13456789101112132[[#This Row],[Offloading Litres]]-Table13456789101112132[[#This Row],[LOADED LITRES]]</f>
        <v>220</v>
      </c>
      <c r="K82" t="s">
        <v>32</v>
      </c>
      <c r="L82">
        <v>75184996</v>
      </c>
      <c r="M82" t="s">
        <v>126</v>
      </c>
      <c r="N82">
        <v>0.68110000000000004</v>
      </c>
      <c r="O82" s="8">
        <f>Table13456789101112132[[#This Row],[Offloading Litres]]*Table13456789101112132[[#This Row],[Rate]]</f>
        <v>27122.764200000001</v>
      </c>
      <c r="P82" s="9" t="s">
        <v>63</v>
      </c>
      <c r="Q82" t="s">
        <v>511</v>
      </c>
      <c r="R82"/>
      <c r="S82"/>
      <c r="T82"/>
    </row>
    <row r="83" spans="1:20" x14ac:dyDescent="0.3">
      <c r="A83" s="7">
        <v>45667</v>
      </c>
      <c r="B83" s="7">
        <v>45670</v>
      </c>
      <c r="C83" t="s">
        <v>22</v>
      </c>
      <c r="D83" t="s">
        <v>31</v>
      </c>
      <c r="E83" t="s">
        <v>16</v>
      </c>
      <c r="F83">
        <v>421505153</v>
      </c>
      <c r="G83">
        <v>802175255</v>
      </c>
      <c r="H83">
        <v>43896</v>
      </c>
      <c r="I83">
        <v>44080</v>
      </c>
      <c r="J83">
        <f>Table13456789101112132[[#This Row],[Offloading Litres]]-Table13456789101112132[[#This Row],[LOADED LITRES]]</f>
        <v>184</v>
      </c>
      <c r="K83" t="s">
        <v>25</v>
      </c>
      <c r="L83">
        <v>75192684</v>
      </c>
      <c r="M83" t="s">
        <v>131</v>
      </c>
      <c r="N83">
        <v>0.68110000000000004</v>
      </c>
      <c r="O83" s="8">
        <f>Table13456789101112132[[#This Row],[Offloading Litres]]*Table13456789101112132[[#This Row],[Rate]]</f>
        <v>30022.888000000003</v>
      </c>
      <c r="P83" s="9" t="s">
        <v>72</v>
      </c>
      <c r="Q83" t="s">
        <v>220</v>
      </c>
    </row>
    <row r="84" spans="1:20" x14ac:dyDescent="0.3">
      <c r="A84" s="7">
        <v>45671</v>
      </c>
      <c r="B84" s="7">
        <v>45672</v>
      </c>
      <c r="C84" t="s">
        <v>22</v>
      </c>
      <c r="D84" t="s">
        <v>31</v>
      </c>
      <c r="E84" t="s">
        <v>16</v>
      </c>
      <c r="F84">
        <v>421721632</v>
      </c>
      <c r="G84">
        <v>802186831</v>
      </c>
      <c r="H84">
        <v>39605</v>
      </c>
      <c r="I84">
        <v>39785</v>
      </c>
      <c r="J84">
        <f>Table13456789101112132[[#This Row],[Offloading Litres]]-Table13456789101112132[[#This Row],[LOADED LITRES]]</f>
        <v>180</v>
      </c>
      <c r="K84" t="s">
        <v>32</v>
      </c>
      <c r="L84">
        <v>75205285</v>
      </c>
      <c r="M84" t="s">
        <v>156</v>
      </c>
      <c r="N84">
        <v>0.68110000000000004</v>
      </c>
      <c r="O84" s="8">
        <f>Table13456789101112132[[#This Row],[Offloading Litres]]*Table13456789101112132[[#This Row],[Rate]]</f>
        <v>27097.5635</v>
      </c>
      <c r="P84" s="9" t="s">
        <v>79</v>
      </c>
    </row>
    <row r="85" spans="1:20" x14ac:dyDescent="0.3">
      <c r="A85" s="7">
        <v>45673</v>
      </c>
      <c r="B85" s="7">
        <v>45674</v>
      </c>
      <c r="C85" t="s">
        <v>22</v>
      </c>
      <c r="D85" t="s">
        <v>31</v>
      </c>
      <c r="E85" t="s">
        <v>16</v>
      </c>
      <c r="F85">
        <v>421943357</v>
      </c>
      <c r="G85">
        <v>802196782</v>
      </c>
      <c r="H85">
        <v>39687</v>
      </c>
      <c r="I85">
        <v>39914</v>
      </c>
      <c r="J85">
        <f>Table13456789101112132[[#This Row],[Offloading Litres]]-Table13456789101112132[[#This Row],[LOADED LITRES]]</f>
        <v>227</v>
      </c>
      <c r="K85" t="s">
        <v>32</v>
      </c>
      <c r="L85">
        <v>75215429</v>
      </c>
      <c r="M85" s="15" t="s">
        <v>143</v>
      </c>
      <c r="N85">
        <v>0.68220000000000003</v>
      </c>
      <c r="O85" s="8">
        <f>Table13456789101112132[[#This Row],[Offloading Litres]]*Table13456789101112132[[#This Row],[Rate]]</f>
        <v>27229.3308</v>
      </c>
      <c r="P85" s="9" t="s">
        <v>85</v>
      </c>
      <c r="Q85" t="s">
        <v>267</v>
      </c>
    </row>
    <row r="86" spans="1:20" x14ac:dyDescent="0.3">
      <c r="A86" s="7">
        <v>45675</v>
      </c>
      <c r="B86" s="7">
        <v>45678</v>
      </c>
      <c r="C86" t="s">
        <v>22</v>
      </c>
      <c r="D86" t="s">
        <v>31</v>
      </c>
      <c r="E86" t="s">
        <v>16</v>
      </c>
      <c r="F86">
        <v>421946279</v>
      </c>
      <c r="G86">
        <v>802203715</v>
      </c>
      <c r="H86">
        <v>39606</v>
      </c>
      <c r="I86">
        <v>39876</v>
      </c>
      <c r="J86">
        <f>Table13456789101112132[[#This Row],[Offloading Litres]]-Table13456789101112132[[#This Row],[LOADED LITRES]]</f>
        <v>270</v>
      </c>
      <c r="K86" t="s">
        <v>32</v>
      </c>
      <c r="L86">
        <v>75223295</v>
      </c>
      <c r="M86" t="s">
        <v>161</v>
      </c>
      <c r="N86">
        <v>0.68220000000000003</v>
      </c>
      <c r="O86" s="8">
        <f>Table13456789101112132[[#This Row],[Offloading Litres]]*Table13456789101112132[[#This Row],[Rate]]</f>
        <v>27203.407200000001</v>
      </c>
      <c r="P86" s="9" t="s">
        <v>91</v>
      </c>
      <c r="Q86" t="s">
        <v>210</v>
      </c>
    </row>
    <row r="87" spans="1:20" x14ac:dyDescent="0.3">
      <c r="A87" s="7">
        <v>45678</v>
      </c>
      <c r="B87" s="7">
        <v>45680</v>
      </c>
      <c r="C87" t="s">
        <v>22</v>
      </c>
      <c r="D87" t="s">
        <v>31</v>
      </c>
      <c r="E87" t="s">
        <v>16</v>
      </c>
      <c r="F87">
        <v>421959740</v>
      </c>
      <c r="G87">
        <v>802214114</v>
      </c>
      <c r="H87">
        <v>39651</v>
      </c>
      <c r="I87">
        <v>39854</v>
      </c>
      <c r="J87">
        <f>Table13456789101112132[[#This Row],[Offloading Litres]]-Table13456789101112132[[#This Row],[LOADED LITRES]]</f>
        <v>203</v>
      </c>
      <c r="K87" t="s">
        <v>32</v>
      </c>
      <c r="L87">
        <v>75233562</v>
      </c>
      <c r="M87" t="s">
        <v>165</v>
      </c>
      <c r="N87">
        <v>0.68220000000000003</v>
      </c>
      <c r="O87" s="8">
        <f>Table13456789101112132[[#This Row],[Offloading Litres]]*Table13456789101112132[[#This Row],[Rate]]</f>
        <v>27188.398800000003</v>
      </c>
      <c r="P87" s="9" t="s">
        <v>155</v>
      </c>
      <c r="Q87" t="s">
        <v>202</v>
      </c>
    </row>
    <row r="88" spans="1:20" x14ac:dyDescent="0.3">
      <c r="A88" s="7">
        <v>45681</v>
      </c>
      <c r="B88" s="7">
        <v>45681</v>
      </c>
      <c r="C88" t="s">
        <v>22</v>
      </c>
      <c r="D88" t="s">
        <v>31</v>
      </c>
      <c r="E88" t="s">
        <v>16</v>
      </c>
      <c r="F88">
        <v>422160419</v>
      </c>
      <c r="G88">
        <v>802224614</v>
      </c>
      <c r="H88">
        <v>43897</v>
      </c>
      <c r="I88">
        <v>44167</v>
      </c>
      <c r="J88">
        <f>Table13456789101112132[[#This Row],[Offloading Litres]]-Table13456789101112132[[#This Row],[LOADED LITRES]]</f>
        <v>270</v>
      </c>
      <c r="K88" t="s">
        <v>25</v>
      </c>
      <c r="L88">
        <v>75244856</v>
      </c>
      <c r="M88" t="s">
        <v>172</v>
      </c>
      <c r="N88">
        <v>0.68220000000000003</v>
      </c>
      <c r="O88" s="8">
        <f>Table13456789101112132[[#This Row],[Offloading Litres]]*Table13456789101112132[[#This Row],[Rate]]</f>
        <v>30130.7274</v>
      </c>
      <c r="P88" s="9" t="s">
        <v>100</v>
      </c>
      <c r="Q88" t="s">
        <v>518</v>
      </c>
    </row>
    <row r="89" spans="1:20" x14ac:dyDescent="0.3">
      <c r="A89" s="7">
        <v>45683</v>
      </c>
      <c r="B89" s="7">
        <v>45685</v>
      </c>
      <c r="C89" t="s">
        <v>22</v>
      </c>
      <c r="D89" t="s">
        <v>31</v>
      </c>
      <c r="E89" t="s">
        <v>16</v>
      </c>
      <c r="F89">
        <v>422160556</v>
      </c>
      <c r="G89">
        <v>802231128</v>
      </c>
      <c r="H89">
        <v>43875</v>
      </c>
      <c r="I89">
        <v>44126</v>
      </c>
      <c r="J89">
        <f>Table13456789101112132[[#This Row],[Offloading Litres]]-Table13456789101112132[[#This Row],[LOADED LITRES]]</f>
        <v>251</v>
      </c>
      <c r="K89" t="s">
        <v>25</v>
      </c>
      <c r="L89">
        <v>75252421</v>
      </c>
      <c r="M89" s="15" t="s">
        <v>180</v>
      </c>
      <c r="N89">
        <v>0.68220000000000003</v>
      </c>
      <c r="O89" s="8">
        <f>Table13456789101112132[[#This Row],[Offloading Litres]]*Table13456789101112132[[#This Row],[Rate]]</f>
        <v>30102.7572</v>
      </c>
      <c r="P89" s="9" t="s">
        <v>153</v>
      </c>
      <c r="Q89" t="s">
        <v>275</v>
      </c>
    </row>
    <row r="90" spans="1:20" x14ac:dyDescent="0.3">
      <c r="J90">
        <f>Table13456789101112132[[#This Row],[Offloading Litres]]-Table13456789101112132[[#This Row],[LOADED LITRES]]</f>
        <v>0</v>
      </c>
      <c r="O90" s="8">
        <f>Table13456789101112132[[#This Row],[Offloading Litres]]*Table13456789101112132[[#This Row],[Rate]]</f>
        <v>0</v>
      </c>
    </row>
    <row r="91" spans="1:20" x14ac:dyDescent="0.3">
      <c r="J91">
        <f>Table13456789101112132[[#This Row],[Offloading Litres]]-Table13456789101112132[[#This Row],[LOADED LITRES]]</f>
        <v>0</v>
      </c>
      <c r="O91" s="8">
        <f>Table13456789101112132[[#This Row],[Offloading Litres]]*Table13456789101112132[[#This Row],[Rate]]</f>
        <v>0</v>
      </c>
    </row>
    <row r="92" spans="1:20" x14ac:dyDescent="0.3">
      <c r="J92">
        <f>Table13456789101112132[[#This Row],[Offloading Litres]]-Table13456789101112132[[#This Row],[LOADED LITRES]]</f>
        <v>0</v>
      </c>
      <c r="O92" s="8">
        <f>Table13456789101112132[[#This Row],[Offloading Litres]]*Table13456789101112132[[#This Row],[Rate]]</f>
        <v>0</v>
      </c>
    </row>
    <row r="93" spans="1:20" x14ac:dyDescent="0.3">
      <c r="J93">
        <f>Table13456789101112132[[#This Row],[Offloading Litres]]-Table13456789101112132[[#This Row],[LOADED LITRES]]</f>
        <v>0</v>
      </c>
      <c r="O93" s="8">
        <f>Table13456789101112132[[#This Row],[Offloading Litres]]*Table13456789101112132[[#This Row],[Rate]]</f>
        <v>0</v>
      </c>
    </row>
    <row r="94" spans="1:20" x14ac:dyDescent="0.3">
      <c r="J94">
        <f>Table13456789101112132[[#This Row],[Offloading Litres]]-Table13456789101112132[[#This Row],[LOADED LITRES]]</f>
        <v>0</v>
      </c>
      <c r="O94" s="8">
        <f>Table13456789101112132[[#This Row],[Offloading Litres]]*Table13456789101112132[[#This Row],[Rate]]</f>
        <v>0</v>
      </c>
    </row>
    <row r="95" spans="1:20" x14ac:dyDescent="0.3">
      <c r="J95">
        <f>Table13456789101112132[[#This Row],[Offloading Litres]]-Table13456789101112132[[#This Row],[LOADED LITRES]]</f>
        <v>0</v>
      </c>
      <c r="O95" s="8">
        <f>Table13456789101112132[[#This Row],[Offloading Litres]]*Table13456789101112132[[#This Row],[Rate]]</f>
        <v>0</v>
      </c>
    </row>
  </sheetData>
  <phoneticPr fontId="2" type="noConversion"/>
  <conditionalFormatting sqref="F1:G1">
    <cfRule type="duplicateValues" dxfId="34" priority="1"/>
  </conditionalFormatting>
  <conditionalFormatting sqref="G1">
    <cfRule type="duplicateValues" dxfId="33" priority="2"/>
  </conditionalFormatting>
  <conditionalFormatting sqref="L1">
    <cfRule type="duplicateValues" dxfId="32" priority="3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2D2AB-881A-400E-9052-E28D4FF843F3}">
  <dimension ref="A1:T96"/>
  <sheetViews>
    <sheetView topLeftCell="A76" workbookViewId="0">
      <selection activeCell="G89" sqref="G89"/>
    </sheetView>
  </sheetViews>
  <sheetFormatPr defaultRowHeight="14.4" x14ac:dyDescent="0.3"/>
  <cols>
    <col min="1" max="2" width="13.33203125" customWidth="1"/>
    <col min="3" max="3" width="9.88671875" customWidth="1"/>
    <col min="4" max="4" width="20.33203125" customWidth="1"/>
    <col min="5" max="5" width="22.88671875" customWidth="1"/>
    <col min="6" max="9" width="13.33203125" customWidth="1"/>
    <col min="10" max="10" width="9" customWidth="1"/>
    <col min="11" max="11" width="8.33203125" customWidth="1"/>
    <col min="12" max="12" width="10.44140625" customWidth="1"/>
    <col min="13" max="13" width="13.5546875" customWidth="1"/>
    <col min="14" max="14" width="9.44140625" customWidth="1"/>
    <col min="15" max="15" width="10.109375" style="8" customWidth="1"/>
    <col min="16" max="16" width="14.6640625" customWidth="1"/>
    <col min="17" max="17" width="10.6640625" customWidth="1"/>
    <col min="18" max="18" width="14.6640625" customWidth="1"/>
    <col min="19" max="19" width="9.33203125" customWidth="1"/>
  </cols>
  <sheetData>
    <row r="1" spans="1:20" ht="15.6" thickBot="1" x14ac:dyDescent="0.35">
      <c r="A1" s="1" t="s">
        <v>0</v>
      </c>
      <c r="B1" s="1" t="s">
        <v>1</v>
      </c>
      <c r="C1" s="2" t="s">
        <v>38</v>
      </c>
      <c r="D1" s="2" t="s">
        <v>2</v>
      </c>
      <c r="E1" s="2" t="s">
        <v>3</v>
      </c>
      <c r="F1" s="2" t="s">
        <v>37</v>
      </c>
      <c r="G1" s="2" t="s">
        <v>4</v>
      </c>
      <c r="H1" s="2" t="s">
        <v>36</v>
      </c>
      <c r="I1" s="2" t="s">
        <v>5</v>
      </c>
      <c r="J1" s="2" t="s">
        <v>6</v>
      </c>
      <c r="K1" s="2" t="s">
        <v>7</v>
      </c>
      <c r="L1" s="3" t="s">
        <v>8</v>
      </c>
      <c r="M1" s="2" t="s">
        <v>9</v>
      </c>
      <c r="N1" s="2" t="s">
        <v>10</v>
      </c>
      <c r="O1" s="4" t="s">
        <v>11</v>
      </c>
      <c r="P1" s="5" t="s">
        <v>12</v>
      </c>
      <c r="Q1" s="5" t="s">
        <v>18</v>
      </c>
      <c r="R1" s="2" t="s">
        <v>13</v>
      </c>
      <c r="S1" s="6" t="s">
        <v>20</v>
      </c>
      <c r="T1" s="6" t="s">
        <v>14</v>
      </c>
    </row>
    <row r="2" spans="1:20" ht="15" thickTop="1" x14ac:dyDescent="0.3">
      <c r="A2" s="7">
        <v>45689</v>
      </c>
      <c r="B2" s="7">
        <v>45691</v>
      </c>
      <c r="C2" t="s">
        <v>103</v>
      </c>
      <c r="D2" t="s">
        <v>286</v>
      </c>
      <c r="E2" t="s">
        <v>185</v>
      </c>
      <c r="F2">
        <v>422483074</v>
      </c>
      <c r="G2">
        <v>802260164</v>
      </c>
      <c r="H2">
        <v>39383</v>
      </c>
      <c r="I2">
        <v>39709</v>
      </c>
      <c r="J2">
        <f>Table134567891011121323[[#This Row],[Offloading Litres]]-Table134567891011121323[[#This Row],[LOADED LITRES]]</f>
        <v>326</v>
      </c>
      <c r="K2" t="s">
        <v>32</v>
      </c>
      <c r="L2">
        <v>75281037</v>
      </c>
      <c r="M2" t="s">
        <v>354</v>
      </c>
      <c r="N2">
        <v>0.74</v>
      </c>
      <c r="O2" s="8">
        <f>Table134567891011121323[[#This Row],[Offloading Litres]]*Table134567891011121323[[#This Row],[Rate]]</f>
        <v>29384.66</v>
      </c>
      <c r="P2" s="9" t="s">
        <v>288</v>
      </c>
      <c r="Q2" t="s">
        <v>523</v>
      </c>
    </row>
    <row r="3" spans="1:20" x14ac:dyDescent="0.3">
      <c r="A3" s="7">
        <v>45689</v>
      </c>
      <c r="B3" s="7">
        <v>45690</v>
      </c>
      <c r="C3" t="s">
        <v>22</v>
      </c>
      <c r="D3" t="s">
        <v>26</v>
      </c>
      <c r="E3" t="s">
        <v>290</v>
      </c>
      <c r="F3">
        <v>422509523</v>
      </c>
      <c r="G3">
        <v>802259283</v>
      </c>
      <c r="H3">
        <v>43449</v>
      </c>
      <c r="I3">
        <v>43764</v>
      </c>
      <c r="J3">
        <f>Table134567891011121323[[#This Row],[Offloading Litres]]-Table134567891011121323[[#This Row],[LOADED LITRES]]</f>
        <v>315</v>
      </c>
      <c r="K3" t="s">
        <v>25</v>
      </c>
      <c r="L3">
        <v>75280111</v>
      </c>
      <c r="M3" t="s">
        <v>355</v>
      </c>
      <c r="N3">
        <v>0.75290000000000001</v>
      </c>
      <c r="O3" s="8">
        <f>Table134567891011121323[[#This Row],[Offloading Litres]]*Table134567891011121323[[#This Row],[Rate]]</f>
        <v>32949.9156</v>
      </c>
      <c r="P3" s="9" t="s">
        <v>291</v>
      </c>
      <c r="Q3" t="s">
        <v>547</v>
      </c>
    </row>
    <row r="4" spans="1:20" x14ac:dyDescent="0.3">
      <c r="A4" s="7">
        <v>45689</v>
      </c>
      <c r="B4" s="7">
        <v>45690</v>
      </c>
      <c r="C4" t="s">
        <v>34</v>
      </c>
      <c r="D4" t="s">
        <v>15</v>
      </c>
      <c r="E4" t="s">
        <v>185</v>
      </c>
      <c r="F4">
        <v>422483064</v>
      </c>
      <c r="G4">
        <v>802260601</v>
      </c>
      <c r="H4">
        <v>38592</v>
      </c>
      <c r="I4">
        <v>38827</v>
      </c>
      <c r="J4">
        <f>Table134567891011121323[[#This Row],[Offloading Litres]]-Table134567891011121323[[#This Row],[LOADED LITRES]]</f>
        <v>235</v>
      </c>
      <c r="K4" t="s">
        <v>32</v>
      </c>
      <c r="L4">
        <v>75281505</v>
      </c>
      <c r="M4" t="s">
        <v>356</v>
      </c>
      <c r="N4">
        <v>0.74</v>
      </c>
      <c r="O4" s="8">
        <f>Table134567891011121323[[#This Row],[Offloading Litres]]*Table134567891011121323[[#This Row],[Rate]]</f>
        <v>28731.98</v>
      </c>
      <c r="P4" s="9" t="s">
        <v>292</v>
      </c>
      <c r="Q4" t="s">
        <v>546</v>
      </c>
    </row>
    <row r="5" spans="1:20" x14ac:dyDescent="0.3">
      <c r="A5" s="7">
        <v>45689</v>
      </c>
      <c r="B5" s="7">
        <v>45689</v>
      </c>
      <c r="C5" t="s">
        <v>28</v>
      </c>
      <c r="D5" t="s">
        <v>33</v>
      </c>
      <c r="E5" t="s">
        <v>185</v>
      </c>
      <c r="F5">
        <v>422483053</v>
      </c>
      <c r="G5">
        <v>802259319</v>
      </c>
      <c r="H5">
        <v>39439</v>
      </c>
      <c r="I5">
        <v>39791</v>
      </c>
      <c r="J5">
        <f>Table134567891011121323[[#This Row],[Offloading Litres]]-Table134567891011121323[[#This Row],[LOADED LITRES]]</f>
        <v>352</v>
      </c>
      <c r="K5" t="s">
        <v>32</v>
      </c>
      <c r="L5">
        <v>75280146</v>
      </c>
      <c r="M5" t="s">
        <v>357</v>
      </c>
      <c r="N5">
        <v>0.74</v>
      </c>
      <c r="O5" s="8">
        <f>Table134567891011121323[[#This Row],[Offloading Litres]]*Table134567891011121323[[#This Row],[Rate]]</f>
        <v>29445.34</v>
      </c>
      <c r="P5" s="9" t="s">
        <v>293</v>
      </c>
      <c r="Q5" t="s">
        <v>545</v>
      </c>
    </row>
    <row r="6" spans="1:20" x14ac:dyDescent="0.3">
      <c r="A6" s="7">
        <v>45689</v>
      </c>
      <c r="B6" s="7">
        <v>45691</v>
      </c>
      <c r="C6" t="s">
        <v>29</v>
      </c>
      <c r="D6" t="s">
        <v>24</v>
      </c>
      <c r="E6" t="s">
        <v>290</v>
      </c>
      <c r="F6">
        <v>422509515</v>
      </c>
      <c r="G6">
        <v>802260627</v>
      </c>
      <c r="H6">
        <v>43385</v>
      </c>
      <c r="I6">
        <v>43690</v>
      </c>
      <c r="J6">
        <f>Table134567891011121323[[#This Row],[Offloading Litres]]-Table134567891011121323[[#This Row],[LOADED LITRES]]</f>
        <v>305</v>
      </c>
      <c r="K6" t="s">
        <v>25</v>
      </c>
      <c r="L6">
        <v>75281545</v>
      </c>
      <c r="M6" t="s">
        <v>358</v>
      </c>
      <c r="N6">
        <v>0.75290000000000001</v>
      </c>
      <c r="O6" s="8">
        <f>Table134567891011121323[[#This Row],[Offloading Litres]]*Table134567891011121323[[#This Row],[Rate]]</f>
        <v>32894.201000000001</v>
      </c>
      <c r="P6" s="9" t="s">
        <v>304</v>
      </c>
      <c r="Q6" t="s">
        <v>521</v>
      </c>
    </row>
    <row r="7" spans="1:20" x14ac:dyDescent="0.3">
      <c r="A7" s="7">
        <v>45690</v>
      </c>
      <c r="B7" s="7">
        <v>45691</v>
      </c>
      <c r="C7" t="s">
        <v>30</v>
      </c>
      <c r="D7" t="s">
        <v>35</v>
      </c>
      <c r="E7" t="s">
        <v>16</v>
      </c>
      <c r="F7">
        <v>422628444</v>
      </c>
      <c r="G7">
        <v>802261719</v>
      </c>
      <c r="H7">
        <v>43756</v>
      </c>
      <c r="I7">
        <v>44096</v>
      </c>
      <c r="J7">
        <f>Table134567891011121323[[#This Row],[Offloading Litres]]-Table134567891011121323[[#This Row],[LOADED LITRES]]</f>
        <v>340</v>
      </c>
      <c r="K7" t="s">
        <v>25</v>
      </c>
      <c r="L7">
        <v>75282608</v>
      </c>
      <c r="M7" t="s">
        <v>360</v>
      </c>
      <c r="N7">
        <v>0.68220000000000003</v>
      </c>
      <c r="O7" s="8">
        <f>Table134567891011121323[[#This Row],[Offloading Litres]]*Table134567891011121323[[#This Row],[Rate]]</f>
        <v>30082.2912</v>
      </c>
      <c r="P7" s="9" t="s">
        <v>300</v>
      </c>
      <c r="Q7" t="s">
        <v>522</v>
      </c>
    </row>
    <row r="8" spans="1:20" x14ac:dyDescent="0.3">
      <c r="A8" s="7">
        <v>45690</v>
      </c>
      <c r="B8" s="7">
        <v>45691</v>
      </c>
      <c r="C8" t="s">
        <v>22</v>
      </c>
      <c r="D8" t="s">
        <v>26</v>
      </c>
      <c r="E8" t="s">
        <v>314</v>
      </c>
      <c r="F8">
        <v>422639322</v>
      </c>
      <c r="G8">
        <v>802262438</v>
      </c>
      <c r="H8">
        <v>43872</v>
      </c>
      <c r="I8">
        <v>44068</v>
      </c>
      <c r="J8">
        <f>Table134567891011121323[[#This Row],[Offloading Litres]]-Table134567891011121323[[#This Row],[LOADED LITRES]]</f>
        <v>196</v>
      </c>
      <c r="K8" t="s">
        <v>25</v>
      </c>
      <c r="L8">
        <v>75283551</v>
      </c>
      <c r="M8" t="s">
        <v>361</v>
      </c>
      <c r="N8">
        <v>0.75270000000000004</v>
      </c>
      <c r="O8" s="8">
        <f>Table134567891011121323[[#This Row],[Offloading Litres]]*Table134567891011121323[[#This Row],[Rate]]</f>
        <v>33169.9836</v>
      </c>
      <c r="P8" s="9" t="s">
        <v>315</v>
      </c>
      <c r="Q8" t="s">
        <v>527</v>
      </c>
    </row>
    <row r="9" spans="1:20" x14ac:dyDescent="0.3">
      <c r="A9" s="7">
        <v>45691</v>
      </c>
      <c r="B9" s="7">
        <v>45694</v>
      </c>
      <c r="C9" t="s">
        <v>28</v>
      </c>
      <c r="D9" t="s">
        <v>33</v>
      </c>
      <c r="E9" t="s">
        <v>185</v>
      </c>
      <c r="F9">
        <v>422483119</v>
      </c>
      <c r="G9">
        <v>802262683</v>
      </c>
      <c r="H9">
        <v>39468</v>
      </c>
      <c r="I9">
        <v>39655</v>
      </c>
      <c r="J9">
        <f>Table134567891011121323[[#This Row],[Offloading Litres]]-Table134567891011121323[[#This Row],[LOADED LITRES]]</f>
        <v>187</v>
      </c>
      <c r="K9" t="s">
        <v>32</v>
      </c>
      <c r="L9">
        <v>75283783</v>
      </c>
      <c r="M9" t="s">
        <v>362</v>
      </c>
      <c r="N9">
        <v>0.74</v>
      </c>
      <c r="O9" s="8">
        <f>Table134567891011121323[[#This Row],[Offloading Litres]]*Table134567891011121323[[#This Row],[Rate]]</f>
        <v>29344.7</v>
      </c>
      <c r="P9" s="9" t="s">
        <v>301</v>
      </c>
      <c r="Q9" t="s">
        <v>529</v>
      </c>
    </row>
    <row r="10" spans="1:20" x14ac:dyDescent="0.3">
      <c r="A10" s="7">
        <v>45691</v>
      </c>
      <c r="B10" s="7">
        <v>45691</v>
      </c>
      <c r="C10" t="s">
        <v>23</v>
      </c>
      <c r="D10" t="s">
        <v>287</v>
      </c>
      <c r="E10" t="s">
        <v>298</v>
      </c>
      <c r="F10">
        <v>422639448</v>
      </c>
      <c r="G10">
        <v>802262480</v>
      </c>
      <c r="H10">
        <v>43754</v>
      </c>
      <c r="I10">
        <v>43921</v>
      </c>
      <c r="J10">
        <f>Table134567891011121323[[#This Row],[Offloading Litres]]-Table134567891011121323[[#This Row],[LOADED LITRES]]</f>
        <v>167</v>
      </c>
      <c r="K10" t="s">
        <v>25</v>
      </c>
      <c r="L10">
        <v>75283603</v>
      </c>
      <c r="M10" t="s">
        <v>363</v>
      </c>
      <c r="N10">
        <v>0.75270000000000004</v>
      </c>
      <c r="O10" s="8">
        <f>Table134567891011121323[[#This Row],[Offloading Litres]]*Table134567891011121323[[#This Row],[Rate]]</f>
        <v>33059.3367</v>
      </c>
      <c r="P10" s="9" t="s">
        <v>311</v>
      </c>
      <c r="Q10" t="s">
        <v>534</v>
      </c>
    </row>
    <row r="11" spans="1:20" x14ac:dyDescent="0.3">
      <c r="A11" s="7">
        <v>45691</v>
      </c>
      <c r="B11" s="7">
        <v>45693</v>
      </c>
      <c r="C11" t="s">
        <v>17</v>
      </c>
      <c r="D11" t="s">
        <v>19</v>
      </c>
      <c r="E11" t="s">
        <v>185</v>
      </c>
      <c r="F11">
        <v>422483124</v>
      </c>
      <c r="G11">
        <v>802266507</v>
      </c>
      <c r="H11">
        <v>38619</v>
      </c>
      <c r="I11">
        <v>38909</v>
      </c>
      <c r="J11">
        <f>Table134567891011121323[[#This Row],[Offloading Litres]]-Table134567891011121323[[#This Row],[LOADED LITRES]]</f>
        <v>290</v>
      </c>
      <c r="K11" t="s">
        <v>32</v>
      </c>
      <c r="L11">
        <v>75288062</v>
      </c>
      <c r="M11" t="s">
        <v>364</v>
      </c>
      <c r="N11">
        <v>0.74</v>
      </c>
      <c r="O11" s="8">
        <f>Table134567891011121323[[#This Row],[Offloading Litres]]*Table134567891011121323[[#This Row],[Rate]]</f>
        <v>28792.66</v>
      </c>
      <c r="P11" s="9" t="s">
        <v>312</v>
      </c>
      <c r="Q11" t="s">
        <v>528</v>
      </c>
    </row>
    <row r="12" spans="1:20" x14ac:dyDescent="0.3">
      <c r="A12" s="7">
        <v>45692</v>
      </c>
      <c r="B12" s="7">
        <v>45693</v>
      </c>
      <c r="C12" t="s">
        <v>23</v>
      </c>
      <c r="D12" t="s">
        <v>287</v>
      </c>
      <c r="E12" t="s">
        <v>298</v>
      </c>
      <c r="F12">
        <v>422639580</v>
      </c>
      <c r="G12">
        <v>802271461</v>
      </c>
      <c r="H12">
        <v>43700</v>
      </c>
      <c r="I12">
        <v>44156</v>
      </c>
      <c r="J12">
        <f>Table134567891011121323[[#This Row],[Offloading Litres]]-Table134567891011121323[[#This Row],[LOADED LITRES]]</f>
        <v>456</v>
      </c>
      <c r="K12" t="s">
        <v>25</v>
      </c>
      <c r="L12">
        <v>75293679</v>
      </c>
      <c r="M12" t="s">
        <v>365</v>
      </c>
      <c r="N12">
        <v>0.75270000000000004</v>
      </c>
      <c r="O12" s="8">
        <f>Table134567891011121323[[#This Row],[Offloading Litres]]*Table134567891011121323[[#This Row],[Rate]]</f>
        <v>33236.2212</v>
      </c>
      <c r="P12" s="9" t="s">
        <v>299</v>
      </c>
      <c r="Q12" t="s">
        <v>533</v>
      </c>
    </row>
    <row r="13" spans="1:20" x14ac:dyDescent="0.3">
      <c r="A13" s="7">
        <v>45692</v>
      </c>
      <c r="B13" s="7">
        <v>45693</v>
      </c>
      <c r="C13" t="s">
        <v>29</v>
      </c>
      <c r="D13" t="s">
        <v>24</v>
      </c>
      <c r="E13" t="s">
        <v>298</v>
      </c>
      <c r="F13">
        <v>422639551</v>
      </c>
      <c r="G13">
        <v>802269778</v>
      </c>
      <c r="H13">
        <v>43668</v>
      </c>
      <c r="I13">
        <v>44128</v>
      </c>
      <c r="J13">
        <f>Table134567891011121323[[#This Row],[Offloading Litres]]-Table134567891011121323[[#This Row],[LOADED LITRES]]</f>
        <v>460</v>
      </c>
      <c r="K13" t="s">
        <v>25</v>
      </c>
      <c r="L13">
        <v>75291523</v>
      </c>
      <c r="M13" t="s">
        <v>366</v>
      </c>
      <c r="N13">
        <v>0.75270000000000004</v>
      </c>
      <c r="O13" s="8">
        <f>Table134567891011121323[[#This Row],[Offloading Litres]]*Table134567891011121323[[#This Row],[Rate]]</f>
        <v>33215.145600000003</v>
      </c>
      <c r="P13" s="9" t="s">
        <v>313</v>
      </c>
      <c r="Q13" t="s">
        <v>532</v>
      </c>
    </row>
    <row r="14" spans="1:20" x14ac:dyDescent="0.3">
      <c r="A14" s="7">
        <v>45692</v>
      </c>
      <c r="B14" s="7">
        <v>45693</v>
      </c>
      <c r="C14" t="s">
        <v>34</v>
      </c>
      <c r="D14" t="s">
        <v>15</v>
      </c>
      <c r="E14" t="s">
        <v>290</v>
      </c>
      <c r="F14">
        <v>422509528</v>
      </c>
      <c r="G14">
        <v>802267249</v>
      </c>
      <c r="H14">
        <v>43462</v>
      </c>
      <c r="I14">
        <v>43799</v>
      </c>
      <c r="J14">
        <f>Table134567891011121323[[#This Row],[Offloading Litres]]-Table134567891011121323[[#This Row],[LOADED LITRES]]</f>
        <v>337</v>
      </c>
      <c r="K14" t="s">
        <v>25</v>
      </c>
      <c r="L14">
        <v>75288702</v>
      </c>
      <c r="M14" t="s">
        <v>367</v>
      </c>
      <c r="N14">
        <v>0.75290000000000001</v>
      </c>
      <c r="O14" s="8">
        <f>Table134567891011121323[[#This Row],[Offloading Litres]]*Table134567891011121323[[#This Row],[Rate]]</f>
        <v>32976.267099999997</v>
      </c>
      <c r="P14" s="9" t="s">
        <v>317</v>
      </c>
      <c r="Q14" t="s">
        <v>504</v>
      </c>
    </row>
    <row r="15" spans="1:20" x14ac:dyDescent="0.3">
      <c r="A15" s="7">
        <v>45693</v>
      </c>
      <c r="B15" s="7">
        <v>45693</v>
      </c>
      <c r="C15" t="s">
        <v>28</v>
      </c>
      <c r="D15" t="s">
        <v>33</v>
      </c>
      <c r="E15" t="s">
        <v>290</v>
      </c>
      <c r="F15">
        <v>422509534</v>
      </c>
      <c r="G15">
        <v>802271576</v>
      </c>
      <c r="H15">
        <v>43972</v>
      </c>
      <c r="I15">
        <v>43898</v>
      </c>
      <c r="J15">
        <f>Table134567891011121323[[#This Row],[Offloading Litres]]-Table134567891011121323[[#This Row],[LOADED LITRES]]</f>
        <v>-74</v>
      </c>
      <c r="K15" t="s">
        <v>25</v>
      </c>
      <c r="L15">
        <v>75293815</v>
      </c>
      <c r="M15" t="s">
        <v>368</v>
      </c>
      <c r="N15">
        <v>0.75290000000000001</v>
      </c>
      <c r="O15" s="8">
        <f>Table134567891011121323[[#This Row],[Offloading Litres]]*Table134567891011121323[[#This Row],[Rate]]</f>
        <v>33050.804199999999</v>
      </c>
      <c r="P15" s="9" t="s">
        <v>305</v>
      </c>
      <c r="Q15" t="s">
        <v>536</v>
      </c>
    </row>
    <row r="16" spans="1:20" x14ac:dyDescent="0.3">
      <c r="A16" s="7">
        <v>45693</v>
      </c>
      <c r="B16" s="7">
        <v>45694</v>
      </c>
      <c r="C16" t="s">
        <v>21</v>
      </c>
      <c r="D16" t="s">
        <v>27</v>
      </c>
      <c r="E16" t="s">
        <v>306</v>
      </c>
      <c r="F16">
        <v>422694675</v>
      </c>
      <c r="G16">
        <v>802274361</v>
      </c>
      <c r="H16">
        <v>39067</v>
      </c>
      <c r="I16">
        <v>39510</v>
      </c>
      <c r="J16">
        <f>Table134567891011121323[[#This Row],[Offloading Litres]]-Table134567891011121323[[#This Row],[LOADED LITRES]]</f>
        <v>443</v>
      </c>
      <c r="K16" t="s">
        <v>32</v>
      </c>
      <c r="L16">
        <v>75296680</v>
      </c>
      <c r="M16" t="s">
        <v>369</v>
      </c>
      <c r="N16">
        <v>0.68159999999999998</v>
      </c>
      <c r="O16" s="8">
        <f>Table134567891011121323[[#This Row],[Offloading Litres]]*Table134567891011121323[[#This Row],[Rate]]</f>
        <v>26930.016</v>
      </c>
      <c r="P16" s="9" t="s">
        <v>307</v>
      </c>
      <c r="Q16" t="s">
        <v>537</v>
      </c>
    </row>
    <row r="17" spans="1:17" x14ac:dyDescent="0.3">
      <c r="A17" s="7">
        <v>45693</v>
      </c>
      <c r="B17" s="7">
        <v>45694</v>
      </c>
      <c r="C17" t="s">
        <v>22</v>
      </c>
      <c r="D17" t="s">
        <v>26</v>
      </c>
      <c r="E17" t="s">
        <v>298</v>
      </c>
      <c r="F17">
        <v>422639560</v>
      </c>
      <c r="G17">
        <v>802271485</v>
      </c>
      <c r="H17">
        <v>43825</v>
      </c>
      <c r="I17">
        <v>44205</v>
      </c>
      <c r="J17">
        <f>Table134567891011121323[[#This Row],[Offloading Litres]]-Table134567891011121323[[#This Row],[LOADED LITRES]]</f>
        <v>380</v>
      </c>
      <c r="K17" t="s">
        <v>25</v>
      </c>
      <c r="L17">
        <v>75293695</v>
      </c>
      <c r="M17" t="s">
        <v>370</v>
      </c>
      <c r="N17">
        <v>0.75270000000000004</v>
      </c>
      <c r="O17" s="8">
        <f>Table134567891011121323[[#This Row],[Offloading Litres]]*Table134567891011121323[[#This Row],[Rate]]</f>
        <v>33273.103500000005</v>
      </c>
      <c r="P17" s="9" t="s">
        <v>318</v>
      </c>
      <c r="Q17" t="s">
        <v>538</v>
      </c>
    </row>
    <row r="18" spans="1:17" x14ac:dyDescent="0.3">
      <c r="A18" s="7">
        <v>45693</v>
      </c>
      <c r="B18" s="7">
        <v>45695</v>
      </c>
      <c r="C18" t="s">
        <v>17</v>
      </c>
      <c r="D18" t="s">
        <v>19</v>
      </c>
      <c r="E18" t="s">
        <v>306</v>
      </c>
      <c r="F18">
        <v>422694676</v>
      </c>
      <c r="G18">
        <v>802275251</v>
      </c>
      <c r="H18">
        <v>38621</v>
      </c>
      <c r="I18">
        <v>38833</v>
      </c>
      <c r="J18">
        <f>Table134567891011121323[[#This Row],[Offloading Litres]]-Table134567891011121323[[#This Row],[LOADED LITRES]]</f>
        <v>212</v>
      </c>
      <c r="K18" t="s">
        <v>32</v>
      </c>
      <c r="L18">
        <v>75297793</v>
      </c>
      <c r="M18" t="s">
        <v>371</v>
      </c>
      <c r="N18">
        <v>0.68159999999999998</v>
      </c>
      <c r="O18" s="8">
        <f>Table134567891011121323[[#This Row],[Offloading Litres]]*Table134567891011121323[[#This Row],[Rate]]</f>
        <v>26468.572799999998</v>
      </c>
      <c r="P18" s="9" t="s">
        <v>321</v>
      </c>
      <c r="Q18" t="s">
        <v>539</v>
      </c>
    </row>
    <row r="19" spans="1:17" x14ac:dyDescent="0.3">
      <c r="A19" s="7">
        <v>45694</v>
      </c>
      <c r="B19" s="7">
        <v>45695</v>
      </c>
      <c r="C19" t="s">
        <v>29</v>
      </c>
      <c r="D19" t="s">
        <v>24</v>
      </c>
      <c r="E19" t="s">
        <v>40</v>
      </c>
      <c r="F19">
        <v>422550944</v>
      </c>
      <c r="G19">
        <v>802278547</v>
      </c>
      <c r="H19">
        <v>39507</v>
      </c>
      <c r="I19">
        <v>39688</v>
      </c>
      <c r="J19">
        <f>Table134567891011121323[[#This Row],[Offloading Litres]]-Table134567891011121323[[#This Row],[LOADED LITRES]]</f>
        <v>181</v>
      </c>
      <c r="K19" t="s">
        <v>32</v>
      </c>
      <c r="L19">
        <v>75301096</v>
      </c>
      <c r="M19" t="s">
        <v>372</v>
      </c>
      <c r="N19">
        <v>0.73760000000000003</v>
      </c>
      <c r="O19" s="8">
        <f>Table134567891011121323[[#This Row],[Offloading Litres]]*Table134567891011121323[[#This Row],[Rate]]</f>
        <v>29273.8688</v>
      </c>
      <c r="P19" s="9" t="s">
        <v>308</v>
      </c>
      <c r="Q19" t="s">
        <v>540</v>
      </c>
    </row>
    <row r="20" spans="1:17" x14ac:dyDescent="0.3">
      <c r="A20" s="7">
        <v>45694</v>
      </c>
      <c r="B20" s="7">
        <v>45696</v>
      </c>
      <c r="C20" t="s">
        <v>23</v>
      </c>
      <c r="D20" t="s">
        <v>287</v>
      </c>
      <c r="E20" t="s">
        <v>40</v>
      </c>
      <c r="F20">
        <v>422551117</v>
      </c>
      <c r="G20">
        <v>802278810</v>
      </c>
      <c r="H20">
        <v>38736</v>
      </c>
      <c r="I20">
        <v>38910</v>
      </c>
      <c r="J20">
        <f>Table134567891011121323[[#This Row],[Offloading Litres]]-Table134567891011121323[[#This Row],[LOADED LITRES]]</f>
        <v>174</v>
      </c>
      <c r="K20" t="s">
        <v>32</v>
      </c>
      <c r="L20">
        <v>75301408</v>
      </c>
      <c r="M20" t="s">
        <v>373</v>
      </c>
      <c r="N20">
        <v>0.73760000000000003</v>
      </c>
      <c r="O20" s="8">
        <f>Table134567891011121323[[#This Row],[Offloading Litres]]*Table134567891011121323[[#This Row],[Rate]]</f>
        <v>28700.016</v>
      </c>
      <c r="P20" s="9" t="s">
        <v>309</v>
      </c>
      <c r="Q20" t="s">
        <v>541</v>
      </c>
    </row>
    <row r="21" spans="1:17" x14ac:dyDescent="0.3">
      <c r="A21" s="7">
        <v>45694</v>
      </c>
      <c r="B21" s="7">
        <v>45694</v>
      </c>
      <c r="C21" t="s">
        <v>30</v>
      </c>
      <c r="D21" t="s">
        <v>286</v>
      </c>
      <c r="E21" t="s">
        <v>290</v>
      </c>
      <c r="F21">
        <v>422509540</v>
      </c>
      <c r="G21">
        <v>802275262</v>
      </c>
      <c r="H21">
        <v>43467</v>
      </c>
      <c r="I21">
        <v>43806</v>
      </c>
      <c r="J21">
        <f>Table134567891011121323[[#This Row],[Offloading Litres]]-Table134567891011121323[[#This Row],[LOADED LITRES]]</f>
        <v>339</v>
      </c>
      <c r="K21" t="s">
        <v>25</v>
      </c>
      <c r="L21">
        <v>75297812</v>
      </c>
      <c r="M21" t="s">
        <v>374</v>
      </c>
      <c r="N21">
        <v>0.75290000000000001</v>
      </c>
      <c r="O21" s="8">
        <f>Table134567891011121323[[#This Row],[Offloading Litres]]*Table134567891011121323[[#This Row],[Rate]]</f>
        <v>32981.537400000001</v>
      </c>
      <c r="P21" s="9" t="s">
        <v>316</v>
      </c>
      <c r="Q21" t="s">
        <v>524</v>
      </c>
    </row>
    <row r="22" spans="1:17" x14ac:dyDescent="0.3">
      <c r="A22" s="7">
        <v>45694</v>
      </c>
      <c r="B22" s="7">
        <v>45695</v>
      </c>
      <c r="C22" t="s">
        <v>34</v>
      </c>
      <c r="D22" t="s">
        <v>15</v>
      </c>
      <c r="E22" t="s">
        <v>306</v>
      </c>
      <c r="F22">
        <v>422694692</v>
      </c>
      <c r="G22">
        <v>802276704</v>
      </c>
      <c r="H22">
        <v>38663</v>
      </c>
      <c r="I22">
        <v>38901</v>
      </c>
      <c r="J22">
        <f>Table134567891011121323[[#This Row],[Offloading Litres]]-Table134567891011121323[[#This Row],[LOADED LITRES]]</f>
        <v>238</v>
      </c>
      <c r="K22" t="s">
        <v>32</v>
      </c>
      <c r="L22">
        <v>75299061</v>
      </c>
      <c r="M22" t="s">
        <v>375</v>
      </c>
      <c r="N22">
        <v>0.68159999999999998</v>
      </c>
      <c r="O22" s="8">
        <f>Table134567891011121323[[#This Row],[Offloading Litres]]*Table134567891011121323[[#This Row],[Rate]]</f>
        <v>26514.921599999998</v>
      </c>
      <c r="P22" s="9" t="s">
        <v>320</v>
      </c>
      <c r="Q22" t="s">
        <v>542</v>
      </c>
    </row>
    <row r="23" spans="1:17" x14ac:dyDescent="0.3">
      <c r="A23" s="7">
        <v>45694</v>
      </c>
      <c r="B23" s="7">
        <v>45696</v>
      </c>
      <c r="C23" t="s">
        <v>28</v>
      </c>
      <c r="D23" t="s">
        <v>33</v>
      </c>
      <c r="E23" t="s">
        <v>40</v>
      </c>
      <c r="F23" s="22">
        <v>422788646</v>
      </c>
      <c r="G23">
        <v>802278996</v>
      </c>
      <c r="H23">
        <v>39486</v>
      </c>
      <c r="I23">
        <v>39652</v>
      </c>
      <c r="J23">
        <f>Table134567891011121323[[#This Row],[Offloading Litres]]-Table134567891011121323[[#This Row],[LOADED LITRES]]</f>
        <v>166</v>
      </c>
      <c r="K23" t="s">
        <v>32</v>
      </c>
      <c r="L23">
        <v>75301677</v>
      </c>
      <c r="M23" t="s">
        <v>376</v>
      </c>
      <c r="N23">
        <v>0.73760000000000003</v>
      </c>
      <c r="O23" s="8">
        <f>Table134567891011121323[[#This Row],[Offloading Litres]]*Table134567891011121323[[#This Row],[Rate]]</f>
        <v>29247.315200000001</v>
      </c>
      <c r="P23" s="9" t="s">
        <v>322</v>
      </c>
      <c r="Q23" t="s">
        <v>530</v>
      </c>
    </row>
    <row r="24" spans="1:17" x14ac:dyDescent="0.3">
      <c r="A24" s="7">
        <v>45695</v>
      </c>
      <c r="B24" s="7">
        <v>45696</v>
      </c>
      <c r="C24" t="s">
        <v>21</v>
      </c>
      <c r="D24" t="s">
        <v>27</v>
      </c>
      <c r="E24" t="s">
        <v>290</v>
      </c>
      <c r="F24">
        <v>422509543</v>
      </c>
      <c r="G24">
        <v>802284026</v>
      </c>
      <c r="H24">
        <v>43487</v>
      </c>
      <c r="I24">
        <v>44091</v>
      </c>
      <c r="J24">
        <f>Table134567891011121323[[#This Row],[Offloading Litres]]-Table134567891011121323[[#This Row],[LOADED LITRES]]</f>
        <v>604</v>
      </c>
      <c r="K24" t="s">
        <v>25</v>
      </c>
      <c r="L24">
        <v>75307579</v>
      </c>
      <c r="M24" t="s">
        <v>377</v>
      </c>
      <c r="N24">
        <v>0.75290000000000001</v>
      </c>
      <c r="O24" s="8">
        <f>Table134567891011121323[[#This Row],[Offloading Litres]]*Table134567891011121323[[#This Row],[Rate]]</f>
        <v>33196.113900000004</v>
      </c>
      <c r="P24" s="9" t="s">
        <v>302</v>
      </c>
      <c r="Q24" t="s">
        <v>505</v>
      </c>
    </row>
    <row r="25" spans="1:17" x14ac:dyDescent="0.3">
      <c r="A25" s="7">
        <v>45695</v>
      </c>
      <c r="B25" s="7">
        <v>45696</v>
      </c>
      <c r="C25" t="s">
        <v>30</v>
      </c>
      <c r="D25" t="s">
        <v>286</v>
      </c>
      <c r="E25" t="s">
        <v>298</v>
      </c>
      <c r="F25">
        <v>422639623</v>
      </c>
      <c r="G25">
        <v>802283122</v>
      </c>
      <c r="H25">
        <v>43759</v>
      </c>
      <c r="I25">
        <v>44036</v>
      </c>
      <c r="J25">
        <f>Table134567891011121323[[#This Row],[Offloading Litres]]-Table134567891011121323[[#This Row],[LOADED LITRES]]</f>
        <v>277</v>
      </c>
      <c r="K25" t="s">
        <v>25</v>
      </c>
      <c r="L25">
        <v>75306407</v>
      </c>
      <c r="M25" t="s">
        <v>378</v>
      </c>
      <c r="N25">
        <v>0.75270000000000004</v>
      </c>
      <c r="O25" s="8">
        <f>Table134567891011121323[[#This Row],[Offloading Litres]]*Table134567891011121323[[#This Row],[Rate]]</f>
        <v>33145.897199999999</v>
      </c>
      <c r="P25" s="9" t="s">
        <v>303</v>
      </c>
      <c r="Q25" t="s">
        <v>531</v>
      </c>
    </row>
    <row r="26" spans="1:17" x14ac:dyDescent="0.3">
      <c r="A26" s="7">
        <v>45695</v>
      </c>
      <c r="B26" s="7">
        <v>45696</v>
      </c>
      <c r="C26" t="s">
        <v>17</v>
      </c>
      <c r="D26" t="s">
        <v>19</v>
      </c>
      <c r="E26" t="s">
        <v>298</v>
      </c>
      <c r="F26">
        <v>422639645</v>
      </c>
      <c r="G26">
        <v>802283936</v>
      </c>
      <c r="H26">
        <v>43707</v>
      </c>
      <c r="I26">
        <v>44284</v>
      </c>
      <c r="J26">
        <f>Table134567891011121323[[#This Row],[Offloading Litres]]-Table134567891011121323[[#This Row],[LOADED LITRES]]</f>
        <v>577</v>
      </c>
      <c r="K26" t="s">
        <v>25</v>
      </c>
      <c r="L26">
        <v>75307498</v>
      </c>
      <c r="M26" t="s">
        <v>379</v>
      </c>
      <c r="N26">
        <v>0.75270000000000004</v>
      </c>
      <c r="O26" s="8">
        <f>Table134567891011121323[[#This Row],[Offloading Litres]]*Table134567891011121323[[#This Row],[Rate]]</f>
        <v>33332.566800000001</v>
      </c>
      <c r="P26" s="9" t="s">
        <v>352</v>
      </c>
      <c r="Q26" t="s">
        <v>548</v>
      </c>
    </row>
    <row r="27" spans="1:17" x14ac:dyDescent="0.3">
      <c r="A27" s="7">
        <v>45695</v>
      </c>
      <c r="B27" s="7">
        <v>45696</v>
      </c>
      <c r="C27" t="s">
        <v>22</v>
      </c>
      <c r="D27" t="s">
        <v>26</v>
      </c>
      <c r="E27" t="s">
        <v>298</v>
      </c>
      <c r="F27">
        <v>422639603</v>
      </c>
      <c r="G27">
        <v>802280238</v>
      </c>
      <c r="H27">
        <v>43945</v>
      </c>
      <c r="I27">
        <v>44046</v>
      </c>
      <c r="J27">
        <f>Table134567891011121323[[#This Row],[Offloading Litres]]-Table134567891011121323[[#This Row],[LOADED LITRES]]</f>
        <v>101</v>
      </c>
      <c r="K27" t="s">
        <v>25</v>
      </c>
      <c r="L27">
        <v>75302920</v>
      </c>
      <c r="M27" t="s">
        <v>380</v>
      </c>
      <c r="N27">
        <v>0.75270000000000004</v>
      </c>
      <c r="O27" s="8">
        <f>Table134567891011121323[[#This Row],[Offloading Litres]]*Table134567891011121323[[#This Row],[Rate]]</f>
        <v>33153.424200000001</v>
      </c>
      <c r="P27" s="9" t="s">
        <v>319</v>
      </c>
      <c r="Q27" t="s">
        <v>535</v>
      </c>
    </row>
    <row r="28" spans="1:17" x14ac:dyDescent="0.3">
      <c r="A28" s="7">
        <v>45696</v>
      </c>
      <c r="B28" s="7">
        <v>45697</v>
      </c>
      <c r="C28" t="s">
        <v>23</v>
      </c>
      <c r="D28" t="s">
        <v>287</v>
      </c>
      <c r="E28" t="s">
        <v>40</v>
      </c>
      <c r="F28">
        <v>422790757</v>
      </c>
      <c r="G28">
        <v>802286250</v>
      </c>
      <c r="H28">
        <v>39492</v>
      </c>
      <c r="I28">
        <v>39724</v>
      </c>
      <c r="J28">
        <f>Table134567891011121323[[#This Row],[Offloading Litres]]-Table134567891011121323[[#This Row],[LOADED LITRES]]</f>
        <v>232</v>
      </c>
      <c r="K28" t="s">
        <v>32</v>
      </c>
      <c r="L28">
        <v>75310327</v>
      </c>
      <c r="M28" t="s">
        <v>381</v>
      </c>
      <c r="N28">
        <v>0.73760000000000003</v>
      </c>
      <c r="O28" s="8">
        <f>Table134567891011121323[[#This Row],[Offloading Litres]]*Table134567891011121323[[#This Row],[Rate]]</f>
        <v>29300.422400000003</v>
      </c>
      <c r="P28" s="9" t="s">
        <v>289</v>
      </c>
      <c r="Q28" t="s">
        <v>526</v>
      </c>
    </row>
    <row r="29" spans="1:17" x14ac:dyDescent="0.3">
      <c r="A29" s="7">
        <v>45696</v>
      </c>
      <c r="B29" s="7">
        <v>45697</v>
      </c>
      <c r="C29" t="s">
        <v>22</v>
      </c>
      <c r="D29" t="s">
        <v>26</v>
      </c>
      <c r="E29" t="s">
        <v>40</v>
      </c>
      <c r="F29">
        <v>422790746</v>
      </c>
      <c r="G29">
        <v>802286219</v>
      </c>
      <c r="H29">
        <v>39495</v>
      </c>
      <c r="I29">
        <v>39865</v>
      </c>
      <c r="J29">
        <f>Table134567891011121323[[#This Row],[Offloading Litres]]-Table134567891011121323[[#This Row],[LOADED LITRES]]</f>
        <v>370</v>
      </c>
      <c r="K29" t="s">
        <v>25</v>
      </c>
      <c r="L29">
        <v>75310305</v>
      </c>
      <c r="M29" t="s">
        <v>382</v>
      </c>
      <c r="N29">
        <v>0.73760000000000003</v>
      </c>
      <c r="O29" s="8">
        <f>Table134567891011121323[[#This Row],[Offloading Litres]]*Table134567891011121323[[#This Row],[Rate]]</f>
        <v>29404.424000000003</v>
      </c>
      <c r="P29" s="9" t="s">
        <v>310</v>
      </c>
      <c r="Q29" t="s">
        <v>525</v>
      </c>
    </row>
    <row r="30" spans="1:17" x14ac:dyDescent="0.3">
      <c r="A30" s="7">
        <v>45696</v>
      </c>
      <c r="B30" s="7">
        <v>45698</v>
      </c>
      <c r="C30" t="s">
        <v>29</v>
      </c>
      <c r="D30" t="s">
        <v>24</v>
      </c>
      <c r="E30" t="s">
        <v>40</v>
      </c>
      <c r="F30">
        <v>422790742</v>
      </c>
      <c r="G30">
        <v>802286223</v>
      </c>
      <c r="H30">
        <v>39496</v>
      </c>
      <c r="I30">
        <v>39755</v>
      </c>
      <c r="J30">
        <f>Table134567891011121323[[#This Row],[Offloading Litres]]-Table134567891011121323[[#This Row],[LOADED LITRES]]</f>
        <v>259</v>
      </c>
      <c r="K30" t="s">
        <v>25</v>
      </c>
      <c r="L30">
        <v>75310320</v>
      </c>
      <c r="M30" t="s">
        <v>383</v>
      </c>
      <c r="N30">
        <v>0.73760000000000003</v>
      </c>
      <c r="O30" s="8">
        <f>Table134567891011121323[[#This Row],[Offloading Litres]]*Table134567891011121323[[#This Row],[Rate]]</f>
        <v>29323.288</v>
      </c>
      <c r="P30" s="9" t="s">
        <v>323</v>
      </c>
      <c r="Q30" t="s">
        <v>550</v>
      </c>
    </row>
    <row r="31" spans="1:17" x14ac:dyDescent="0.3">
      <c r="A31" s="7">
        <v>45697</v>
      </c>
      <c r="B31" s="7">
        <v>45698</v>
      </c>
      <c r="C31" t="s">
        <v>28</v>
      </c>
      <c r="D31" t="s">
        <v>33</v>
      </c>
      <c r="E31" t="s">
        <v>40</v>
      </c>
      <c r="F31">
        <v>422790728</v>
      </c>
      <c r="G31">
        <v>802286430</v>
      </c>
      <c r="H31">
        <v>39510</v>
      </c>
      <c r="I31">
        <v>39752</v>
      </c>
      <c r="J31">
        <f>Table134567891011121323[[#This Row],[Offloading Litres]]-Table134567891011121323[[#This Row],[LOADED LITRES]]</f>
        <v>242</v>
      </c>
      <c r="K31" t="s">
        <v>25</v>
      </c>
      <c r="L31">
        <v>75310453</v>
      </c>
      <c r="M31" t="s">
        <v>384</v>
      </c>
      <c r="N31">
        <v>0.73760000000000003</v>
      </c>
      <c r="O31" s="8">
        <f>Table134567891011121323[[#This Row],[Offloading Litres]]*Table134567891011121323[[#This Row],[Rate]]</f>
        <v>29321.075200000003</v>
      </c>
      <c r="P31" s="9" t="s">
        <v>324</v>
      </c>
      <c r="Q31" t="s">
        <v>549</v>
      </c>
    </row>
    <row r="32" spans="1:17" x14ac:dyDescent="0.3">
      <c r="A32" s="7">
        <v>45697</v>
      </c>
      <c r="B32" s="7">
        <v>45698</v>
      </c>
      <c r="C32" t="s">
        <v>30</v>
      </c>
      <c r="D32" t="s">
        <v>286</v>
      </c>
      <c r="E32" t="s">
        <v>40</v>
      </c>
      <c r="F32">
        <v>422451911</v>
      </c>
      <c r="G32">
        <v>802286442</v>
      </c>
      <c r="H32">
        <v>43764</v>
      </c>
      <c r="I32">
        <v>44103</v>
      </c>
      <c r="J32">
        <f>Table134567891011121323[[#This Row],[Offloading Litres]]-Table134567891011121323[[#This Row],[LOADED LITRES]]</f>
        <v>339</v>
      </c>
      <c r="K32" t="s">
        <v>25</v>
      </c>
      <c r="L32">
        <v>75310461</v>
      </c>
      <c r="M32" t="s">
        <v>385</v>
      </c>
      <c r="N32">
        <v>0.73760000000000003</v>
      </c>
      <c r="O32" s="8">
        <f>Table134567891011121323[[#This Row],[Offloading Litres]]*Table134567891011121323[[#This Row],[Rate]]</f>
        <v>32530.372800000001</v>
      </c>
      <c r="P32" s="9" t="s">
        <v>325</v>
      </c>
      <c r="Q32" t="s">
        <v>551</v>
      </c>
    </row>
    <row r="33" spans="1:17" x14ac:dyDescent="0.3">
      <c r="A33" s="7">
        <v>45697</v>
      </c>
      <c r="B33" s="7">
        <v>45699</v>
      </c>
      <c r="C33" t="s">
        <v>34</v>
      </c>
      <c r="D33" t="s">
        <v>15</v>
      </c>
      <c r="E33" t="s">
        <v>16</v>
      </c>
      <c r="F33">
        <v>422873118</v>
      </c>
      <c r="G33">
        <v>802286445</v>
      </c>
      <c r="H33">
        <v>43735</v>
      </c>
      <c r="I33">
        <v>44064</v>
      </c>
      <c r="J33">
        <f>Table134567891011121323[[#This Row],[Offloading Litres]]-Table134567891011121323[[#This Row],[LOADED LITRES]]</f>
        <v>329</v>
      </c>
      <c r="K33" t="s">
        <v>25</v>
      </c>
      <c r="L33">
        <v>75310406</v>
      </c>
      <c r="M33" t="s">
        <v>386</v>
      </c>
      <c r="N33">
        <v>0.68220000000000003</v>
      </c>
      <c r="O33" s="8">
        <f>Table134567891011121323[[#This Row],[Offloading Litres]]*Table134567891011121323[[#This Row],[Rate]]</f>
        <v>30060.460800000001</v>
      </c>
      <c r="P33" s="9" t="s">
        <v>342</v>
      </c>
      <c r="Q33" t="s">
        <v>554</v>
      </c>
    </row>
    <row r="34" spans="1:17" x14ac:dyDescent="0.3">
      <c r="A34" s="7">
        <v>45698</v>
      </c>
      <c r="B34" s="7">
        <v>45698</v>
      </c>
      <c r="C34" t="s">
        <v>22</v>
      </c>
      <c r="D34" t="s">
        <v>26</v>
      </c>
      <c r="E34" t="s">
        <v>306</v>
      </c>
      <c r="F34">
        <v>422854512</v>
      </c>
      <c r="G34">
        <v>802291160</v>
      </c>
      <c r="H34">
        <v>39648</v>
      </c>
      <c r="I34">
        <v>39854</v>
      </c>
      <c r="J34">
        <f>Table134567891011121323[[#This Row],[Offloading Litres]]-Table134567891011121323[[#This Row],[LOADED LITRES]]</f>
        <v>206</v>
      </c>
      <c r="K34" t="s">
        <v>32</v>
      </c>
      <c r="L34">
        <v>75315725</v>
      </c>
      <c r="M34" t="s">
        <v>447</v>
      </c>
      <c r="N34">
        <v>0.68159999999999998</v>
      </c>
      <c r="O34" s="8">
        <f>Table134567891011121323[[#This Row],[Offloading Litres]]*Table134567891011121323[[#This Row],[Rate]]</f>
        <v>27164.486399999998</v>
      </c>
      <c r="P34" s="9" t="s">
        <v>328</v>
      </c>
      <c r="Q34" t="s">
        <v>552</v>
      </c>
    </row>
    <row r="35" spans="1:17" x14ac:dyDescent="0.3">
      <c r="A35" s="7">
        <v>45698</v>
      </c>
      <c r="B35" s="7">
        <v>45699</v>
      </c>
      <c r="C35" t="s">
        <v>23</v>
      </c>
      <c r="D35" t="s">
        <v>287</v>
      </c>
      <c r="E35" t="s">
        <v>16</v>
      </c>
      <c r="F35">
        <v>422872966</v>
      </c>
      <c r="G35">
        <v>802291512</v>
      </c>
      <c r="H35">
        <v>38566</v>
      </c>
      <c r="I35">
        <v>38873</v>
      </c>
      <c r="J35">
        <f>Table134567891011121323[[#This Row],[Offloading Litres]]-Table134567891011121323[[#This Row],[LOADED LITRES]]</f>
        <v>307</v>
      </c>
      <c r="K35" t="s">
        <v>32</v>
      </c>
      <c r="L35">
        <v>75316020</v>
      </c>
      <c r="M35" t="s">
        <v>387</v>
      </c>
      <c r="N35">
        <v>0.68220000000000003</v>
      </c>
      <c r="O35" s="8">
        <f>Table134567891011121323[[#This Row],[Offloading Litres]]*Table134567891011121323[[#This Row],[Rate]]</f>
        <v>26519.160600000003</v>
      </c>
      <c r="P35" s="9" t="s">
        <v>344</v>
      </c>
      <c r="Q35" t="s">
        <v>553</v>
      </c>
    </row>
    <row r="36" spans="1:17" x14ac:dyDescent="0.3">
      <c r="A36" s="7">
        <v>45698</v>
      </c>
      <c r="B36" s="7">
        <v>45699</v>
      </c>
      <c r="C36" t="s">
        <v>21</v>
      </c>
      <c r="D36" t="s">
        <v>27</v>
      </c>
      <c r="E36" t="s">
        <v>16</v>
      </c>
      <c r="F36">
        <v>422872955</v>
      </c>
      <c r="G36">
        <v>802287840</v>
      </c>
      <c r="H36">
        <v>39256</v>
      </c>
      <c r="I36">
        <v>39631</v>
      </c>
      <c r="J36">
        <f>Table134567891011121323[[#This Row],[Offloading Litres]]-Table134567891011121323[[#This Row],[LOADED LITRES]]</f>
        <v>375</v>
      </c>
      <c r="K36" t="s">
        <v>32</v>
      </c>
      <c r="L36">
        <v>75312160</v>
      </c>
      <c r="M36" t="s">
        <v>388</v>
      </c>
      <c r="N36">
        <v>0.68220000000000003</v>
      </c>
      <c r="O36" s="8">
        <f>Table134567891011121323[[#This Row],[Offloading Litres]]*Table134567891011121323[[#This Row],[Rate]]</f>
        <v>27036.268200000002</v>
      </c>
      <c r="P36" s="9" t="s">
        <v>343</v>
      </c>
      <c r="Q36" t="s">
        <v>555</v>
      </c>
    </row>
    <row r="37" spans="1:17" x14ac:dyDescent="0.3">
      <c r="A37" s="7">
        <v>45699</v>
      </c>
      <c r="B37" s="7">
        <v>45700</v>
      </c>
      <c r="C37" t="s">
        <v>30</v>
      </c>
      <c r="D37" t="s">
        <v>286</v>
      </c>
      <c r="E37" t="s">
        <v>40</v>
      </c>
      <c r="F37">
        <v>422790821</v>
      </c>
      <c r="G37">
        <v>802292374</v>
      </c>
      <c r="H37">
        <v>43016</v>
      </c>
      <c r="I37">
        <v>43116</v>
      </c>
      <c r="J37">
        <f>Table134567891011121323[[#This Row],[Offloading Litres]]-Table134567891011121323[[#This Row],[LOADED LITRES]]</f>
        <v>100</v>
      </c>
      <c r="K37" t="s">
        <v>25</v>
      </c>
      <c r="L37">
        <v>75316489</v>
      </c>
      <c r="M37" t="s">
        <v>389</v>
      </c>
      <c r="N37">
        <v>0.73760000000000003</v>
      </c>
      <c r="O37" s="8">
        <f>Table134567891011121323[[#This Row],[Offloading Litres]]*Table134567891011121323[[#This Row],[Rate]]</f>
        <v>31802.3616</v>
      </c>
      <c r="P37" s="9" t="s">
        <v>326</v>
      </c>
      <c r="Q37" t="s">
        <v>586</v>
      </c>
    </row>
    <row r="38" spans="1:17" x14ac:dyDescent="0.3">
      <c r="A38" s="7">
        <v>45699</v>
      </c>
      <c r="B38" s="7">
        <v>45700</v>
      </c>
      <c r="C38" t="s">
        <v>29</v>
      </c>
      <c r="D38" t="s">
        <v>24</v>
      </c>
      <c r="E38" t="s">
        <v>306</v>
      </c>
      <c r="F38">
        <v>422854513</v>
      </c>
      <c r="G38">
        <v>802294071</v>
      </c>
      <c r="H38">
        <v>39500</v>
      </c>
      <c r="I38">
        <v>39659</v>
      </c>
      <c r="J38">
        <f>Table134567891011121323[[#This Row],[Offloading Litres]]-Table134567891011121323[[#This Row],[LOADED LITRES]]</f>
        <v>159</v>
      </c>
      <c r="K38" t="s">
        <v>32</v>
      </c>
      <c r="L38">
        <v>75318270</v>
      </c>
      <c r="M38" t="s">
        <v>390</v>
      </c>
      <c r="N38">
        <v>0.68159999999999998</v>
      </c>
      <c r="O38" s="8">
        <f>Table134567891011121323[[#This Row],[Offloading Litres]]*Table134567891011121323[[#This Row],[Rate]]</f>
        <v>27031.574399999998</v>
      </c>
      <c r="P38" s="9" t="s">
        <v>329</v>
      </c>
      <c r="Q38" t="s">
        <v>557</v>
      </c>
    </row>
    <row r="39" spans="1:17" x14ac:dyDescent="0.3">
      <c r="A39" s="7">
        <v>45699</v>
      </c>
      <c r="B39" s="7">
        <v>45700</v>
      </c>
      <c r="C39" t="s">
        <v>28</v>
      </c>
      <c r="D39" t="s">
        <v>33</v>
      </c>
      <c r="E39" t="s">
        <v>306</v>
      </c>
      <c r="F39">
        <v>422854514</v>
      </c>
      <c r="G39">
        <v>802293701</v>
      </c>
      <c r="H39">
        <v>39491</v>
      </c>
      <c r="I39">
        <v>39624</v>
      </c>
      <c r="J39">
        <f>Table134567891011121323[[#This Row],[Offloading Litres]]-Table134567891011121323[[#This Row],[LOADED LITRES]]</f>
        <v>133</v>
      </c>
      <c r="K39" t="s">
        <v>32</v>
      </c>
      <c r="L39">
        <v>75317970</v>
      </c>
      <c r="M39" t="s">
        <v>391</v>
      </c>
      <c r="N39">
        <v>0.68159999999999998</v>
      </c>
      <c r="O39" s="8">
        <f>Table134567891011121323[[#This Row],[Offloading Litres]]*Table134567891011121323[[#This Row],[Rate]]</f>
        <v>27007.718399999998</v>
      </c>
      <c r="P39" s="9" t="s">
        <v>330</v>
      </c>
      <c r="Q39" t="s">
        <v>559</v>
      </c>
    </row>
    <row r="40" spans="1:17" x14ac:dyDescent="0.3">
      <c r="A40" s="7">
        <v>45699</v>
      </c>
      <c r="B40" s="7">
        <v>45700</v>
      </c>
      <c r="C40" t="s">
        <v>17</v>
      </c>
      <c r="D40" t="s">
        <v>19</v>
      </c>
      <c r="E40" t="s">
        <v>16</v>
      </c>
      <c r="F40">
        <v>422873128</v>
      </c>
      <c r="G40">
        <v>802296177</v>
      </c>
      <c r="H40">
        <v>43718</v>
      </c>
      <c r="I40">
        <v>44112</v>
      </c>
      <c r="J40">
        <f>Table134567891011121323[[#This Row],[Offloading Litres]]-Table134567891011121323[[#This Row],[LOADED LITRES]]</f>
        <v>394</v>
      </c>
      <c r="K40" t="s">
        <v>25</v>
      </c>
      <c r="L40">
        <v>75320534</v>
      </c>
      <c r="M40" t="s">
        <v>392</v>
      </c>
      <c r="N40">
        <v>0.68220000000000003</v>
      </c>
      <c r="O40" s="8">
        <f>Table134567891011121323[[#This Row],[Offloading Litres]]*Table134567891011121323[[#This Row],[Rate]]</f>
        <v>30093.206400000003</v>
      </c>
      <c r="P40" s="9" t="s">
        <v>345</v>
      </c>
      <c r="Q40" t="s">
        <v>556</v>
      </c>
    </row>
    <row r="41" spans="1:17" x14ac:dyDescent="0.3">
      <c r="A41" s="7">
        <v>45700</v>
      </c>
      <c r="B41" s="7">
        <v>45702</v>
      </c>
      <c r="C41" t="s">
        <v>22</v>
      </c>
      <c r="D41" t="s">
        <v>26</v>
      </c>
      <c r="E41" t="s">
        <v>40</v>
      </c>
      <c r="F41">
        <v>422790812</v>
      </c>
      <c r="G41">
        <v>802301474</v>
      </c>
      <c r="H41">
        <v>43875</v>
      </c>
      <c r="I41">
        <v>44118</v>
      </c>
      <c r="J41">
        <f>Table134567891011121323[[#This Row],[Offloading Litres]]-Table134567891011121323[[#This Row],[LOADED LITRES]]</f>
        <v>243</v>
      </c>
      <c r="K41" t="s">
        <v>25</v>
      </c>
      <c r="L41">
        <v>75325505</v>
      </c>
      <c r="M41" t="s">
        <v>393</v>
      </c>
      <c r="N41">
        <v>0.73760000000000003</v>
      </c>
      <c r="O41" s="8">
        <f>Table134567891011121323[[#This Row],[Offloading Litres]]*Table134567891011121323[[#This Row],[Rate]]</f>
        <v>32541.436800000003</v>
      </c>
      <c r="P41" s="9" t="s">
        <v>327</v>
      </c>
      <c r="Q41" t="s">
        <v>562</v>
      </c>
    </row>
    <row r="42" spans="1:17" x14ac:dyDescent="0.3">
      <c r="A42" s="7">
        <v>45700</v>
      </c>
      <c r="B42" s="7">
        <v>45701</v>
      </c>
      <c r="C42" t="s">
        <v>30</v>
      </c>
      <c r="D42" t="s">
        <v>286</v>
      </c>
      <c r="E42" t="s">
        <v>16</v>
      </c>
      <c r="F42">
        <v>422872977</v>
      </c>
      <c r="G42">
        <v>802301827</v>
      </c>
      <c r="H42">
        <v>38685</v>
      </c>
      <c r="I42">
        <v>38902</v>
      </c>
      <c r="J42">
        <f>Table134567891011121323[[#This Row],[Offloading Litres]]-Table134567891011121323[[#This Row],[LOADED LITRES]]</f>
        <v>217</v>
      </c>
      <c r="K42" t="s">
        <v>32</v>
      </c>
      <c r="L42">
        <v>75325852</v>
      </c>
      <c r="M42" t="s">
        <v>394</v>
      </c>
      <c r="N42">
        <v>0.68220000000000003</v>
      </c>
      <c r="O42" s="8">
        <f>Table134567891011121323[[#This Row],[Offloading Litres]]*Table134567891011121323[[#This Row],[Rate]]</f>
        <v>26538.9444</v>
      </c>
      <c r="P42" s="9" t="s">
        <v>346</v>
      </c>
      <c r="Q42" t="s">
        <v>561</v>
      </c>
    </row>
    <row r="43" spans="1:17" x14ac:dyDescent="0.3">
      <c r="A43" s="7">
        <v>45701</v>
      </c>
      <c r="B43" s="7">
        <v>45702</v>
      </c>
      <c r="C43" t="s">
        <v>21</v>
      </c>
      <c r="D43" t="s">
        <v>27</v>
      </c>
      <c r="E43" t="s">
        <v>306</v>
      </c>
      <c r="F43">
        <v>422854515</v>
      </c>
      <c r="G43">
        <v>802301912</v>
      </c>
      <c r="H43">
        <v>39160</v>
      </c>
      <c r="I43">
        <v>39488</v>
      </c>
      <c r="J43">
        <f>Table134567891011121323[[#This Row],[Offloading Litres]]-Table134567891011121323[[#This Row],[LOADED LITRES]]</f>
        <v>328</v>
      </c>
      <c r="K43" t="s">
        <v>32</v>
      </c>
      <c r="L43">
        <v>75325874</v>
      </c>
      <c r="M43" t="s">
        <v>395</v>
      </c>
      <c r="N43">
        <v>0.68159999999999998</v>
      </c>
      <c r="O43" s="8">
        <f>Table134567891011121323[[#This Row],[Offloading Litres]]*Table134567891011121323[[#This Row],[Rate]]</f>
        <v>26915.020799999998</v>
      </c>
      <c r="P43" s="9" t="s">
        <v>331</v>
      </c>
      <c r="Q43" t="s">
        <v>558</v>
      </c>
    </row>
    <row r="44" spans="1:17" x14ac:dyDescent="0.3">
      <c r="A44" s="7">
        <v>45701</v>
      </c>
      <c r="B44" s="7">
        <v>45702</v>
      </c>
      <c r="C44" t="s">
        <v>28</v>
      </c>
      <c r="D44" t="s">
        <v>33</v>
      </c>
      <c r="E44" t="s">
        <v>306</v>
      </c>
      <c r="F44">
        <v>422854516</v>
      </c>
      <c r="G44">
        <v>802303692</v>
      </c>
      <c r="H44">
        <v>39442</v>
      </c>
      <c r="I44">
        <v>39655</v>
      </c>
      <c r="J44">
        <f>Table134567891011121323[[#This Row],[Offloading Litres]]-Table134567891011121323[[#This Row],[LOADED LITRES]]</f>
        <v>213</v>
      </c>
      <c r="K44" t="s">
        <v>32</v>
      </c>
      <c r="L44">
        <v>75327682</v>
      </c>
      <c r="M44" t="s">
        <v>396</v>
      </c>
      <c r="N44">
        <v>0.68159999999999998</v>
      </c>
      <c r="O44" s="8">
        <f>Table134567891011121323[[#This Row],[Offloading Litres]]*Table134567891011121323[[#This Row],[Rate]]</f>
        <v>27028.847999999998</v>
      </c>
      <c r="P44" s="9" t="s">
        <v>332</v>
      </c>
      <c r="Q44" t="s">
        <v>560</v>
      </c>
    </row>
    <row r="45" spans="1:17" x14ac:dyDescent="0.3">
      <c r="A45" s="7">
        <v>45701</v>
      </c>
      <c r="B45" s="7">
        <v>45702</v>
      </c>
      <c r="C45" t="s">
        <v>29</v>
      </c>
      <c r="D45" t="s">
        <v>24</v>
      </c>
      <c r="E45" t="s">
        <v>16</v>
      </c>
      <c r="F45">
        <v>422872994</v>
      </c>
      <c r="G45">
        <v>802303734</v>
      </c>
      <c r="H45">
        <v>39439</v>
      </c>
      <c r="I45">
        <v>39572</v>
      </c>
      <c r="J45">
        <f>Table134567891011121323[[#This Row],[Offloading Litres]]-Table134567891011121323[[#This Row],[LOADED LITRES]]</f>
        <v>133</v>
      </c>
      <c r="K45" t="s">
        <v>32</v>
      </c>
      <c r="L45">
        <v>75327688</v>
      </c>
      <c r="M45" t="s">
        <v>397</v>
      </c>
      <c r="N45">
        <v>0.68220000000000003</v>
      </c>
      <c r="O45" s="8">
        <f>Table134567891011121323[[#This Row],[Offloading Litres]]*Table134567891011121323[[#This Row],[Rate]]</f>
        <v>26996.018400000001</v>
      </c>
      <c r="P45" s="9" t="s">
        <v>347</v>
      </c>
      <c r="Q45" t="s">
        <v>563</v>
      </c>
    </row>
    <row r="46" spans="1:17" x14ac:dyDescent="0.3">
      <c r="A46" s="7">
        <v>45702</v>
      </c>
      <c r="B46" s="7">
        <v>45703</v>
      </c>
      <c r="C46" t="s">
        <v>23</v>
      </c>
      <c r="D46" t="s">
        <v>287</v>
      </c>
      <c r="E46" t="s">
        <v>306</v>
      </c>
      <c r="F46">
        <v>422854537</v>
      </c>
      <c r="G46">
        <v>802308914</v>
      </c>
      <c r="H46">
        <v>38620</v>
      </c>
      <c r="I46">
        <v>38501</v>
      </c>
      <c r="J46">
        <f>Table134567891011121323[[#This Row],[Offloading Litres]]-Table134567891011121323[[#This Row],[LOADED LITRES]]</f>
        <v>-119</v>
      </c>
      <c r="K46" t="s">
        <v>32</v>
      </c>
      <c r="L46">
        <v>75333295</v>
      </c>
      <c r="M46" t="s">
        <v>398</v>
      </c>
      <c r="N46">
        <v>0.68159999999999998</v>
      </c>
      <c r="O46" s="8">
        <f>Table134567891011121323[[#This Row],[Offloading Litres]]*Table134567891011121323[[#This Row],[Rate]]</f>
        <v>26242.281599999998</v>
      </c>
      <c r="P46" s="9" t="s">
        <v>333</v>
      </c>
      <c r="Q46" t="s">
        <v>564</v>
      </c>
    </row>
    <row r="47" spans="1:17" x14ac:dyDescent="0.3">
      <c r="A47" s="7">
        <v>45702</v>
      </c>
      <c r="B47" s="7">
        <v>45704</v>
      </c>
      <c r="C47" t="s">
        <v>23</v>
      </c>
      <c r="D47" t="s">
        <v>35</v>
      </c>
      <c r="E47" t="s">
        <v>306</v>
      </c>
      <c r="F47">
        <v>422854543</v>
      </c>
      <c r="G47">
        <v>802311060</v>
      </c>
      <c r="H47">
        <v>38664</v>
      </c>
      <c r="I47">
        <v>38883</v>
      </c>
      <c r="J47">
        <f>Table134567891011121323[[#This Row],[Offloading Litres]]-Table134567891011121323[[#This Row],[LOADED LITRES]]</f>
        <v>219</v>
      </c>
      <c r="K47" t="s">
        <v>32</v>
      </c>
      <c r="L47">
        <v>75336144</v>
      </c>
      <c r="M47" t="s">
        <v>399</v>
      </c>
      <c r="N47">
        <v>0.68159999999999998</v>
      </c>
      <c r="O47" s="8">
        <f>Table134567891011121323[[#This Row],[Offloading Litres]]*Table134567891011121323[[#This Row],[Rate]]</f>
        <v>26502.6528</v>
      </c>
      <c r="P47" s="9" t="s">
        <v>335</v>
      </c>
      <c r="Q47" t="s">
        <v>565</v>
      </c>
    </row>
    <row r="48" spans="1:17" x14ac:dyDescent="0.3">
      <c r="A48" s="7">
        <v>45703</v>
      </c>
      <c r="B48" s="7">
        <v>45704</v>
      </c>
      <c r="C48" t="s">
        <v>22</v>
      </c>
      <c r="D48" t="s">
        <v>26</v>
      </c>
      <c r="E48" t="s">
        <v>306</v>
      </c>
      <c r="F48">
        <v>422854541</v>
      </c>
      <c r="G48">
        <v>802311150</v>
      </c>
      <c r="H48">
        <v>39677</v>
      </c>
      <c r="I48">
        <v>39733</v>
      </c>
      <c r="J48">
        <f>Table134567891011121323[[#This Row],[Offloading Litres]]-Table134567891011121323[[#This Row],[LOADED LITRES]]</f>
        <v>56</v>
      </c>
      <c r="K48" t="s">
        <v>32</v>
      </c>
      <c r="L48">
        <v>75336223</v>
      </c>
      <c r="M48" t="s">
        <v>448</v>
      </c>
      <c r="N48">
        <v>0.69210000000000005</v>
      </c>
      <c r="O48" s="8">
        <f>Table134567891011121323[[#This Row],[Offloading Litres]]*Table134567891011121323[[#This Row],[Rate]]</f>
        <v>27499.209300000002</v>
      </c>
      <c r="P48" s="9" t="s">
        <v>336</v>
      </c>
      <c r="Q48" t="s">
        <v>568</v>
      </c>
    </row>
    <row r="49" spans="1:17" x14ac:dyDescent="0.3">
      <c r="A49" s="7">
        <v>45703</v>
      </c>
      <c r="B49" s="7">
        <v>45704</v>
      </c>
      <c r="C49" t="s">
        <v>30</v>
      </c>
      <c r="D49" t="s">
        <v>286</v>
      </c>
      <c r="E49" t="s">
        <v>306</v>
      </c>
      <c r="F49">
        <v>422854539</v>
      </c>
      <c r="G49">
        <v>802311516</v>
      </c>
      <c r="H49">
        <v>38727</v>
      </c>
      <c r="I49">
        <v>38849</v>
      </c>
      <c r="J49">
        <f>Table134567891011121323[[#This Row],[Offloading Litres]]-Table134567891011121323[[#This Row],[LOADED LITRES]]</f>
        <v>122</v>
      </c>
      <c r="K49" t="s">
        <v>32</v>
      </c>
      <c r="L49">
        <v>75336603</v>
      </c>
      <c r="M49" t="s">
        <v>400</v>
      </c>
      <c r="N49">
        <v>0.69210000000000005</v>
      </c>
      <c r="O49" s="8">
        <f>Table134567891011121323[[#This Row],[Offloading Litres]]*Table134567891011121323[[#This Row],[Rate]]</f>
        <v>26887.392900000003</v>
      </c>
      <c r="P49" s="9" t="s">
        <v>337</v>
      </c>
      <c r="Q49" t="s">
        <v>570</v>
      </c>
    </row>
    <row r="50" spans="1:17" x14ac:dyDescent="0.3">
      <c r="A50" s="7">
        <v>45703</v>
      </c>
      <c r="B50" s="7">
        <v>45704</v>
      </c>
      <c r="C50" t="s">
        <v>21</v>
      </c>
      <c r="D50" t="s">
        <v>27</v>
      </c>
      <c r="E50" t="s">
        <v>306</v>
      </c>
      <c r="F50">
        <v>422854542</v>
      </c>
      <c r="G50">
        <v>802312003</v>
      </c>
      <c r="H50">
        <v>39222</v>
      </c>
      <c r="I50">
        <v>39545</v>
      </c>
      <c r="J50">
        <f>Table134567891011121323[[#This Row],[Offloading Litres]]-Table134567891011121323[[#This Row],[LOADED LITRES]]</f>
        <v>323</v>
      </c>
      <c r="K50" t="s">
        <v>32</v>
      </c>
      <c r="L50">
        <v>75337183</v>
      </c>
      <c r="M50" t="s">
        <v>401</v>
      </c>
      <c r="N50">
        <v>0.69210000000000005</v>
      </c>
      <c r="O50" s="8">
        <f>Table134567891011121323[[#This Row],[Offloading Litres]]*Table134567891011121323[[#This Row],[Rate]]</f>
        <v>27369.094500000003</v>
      </c>
      <c r="P50" s="9" t="s">
        <v>338</v>
      </c>
      <c r="Q50" t="s">
        <v>566</v>
      </c>
    </row>
    <row r="51" spans="1:17" x14ac:dyDescent="0.3">
      <c r="A51" s="7">
        <v>45703</v>
      </c>
      <c r="B51" s="7">
        <v>45704</v>
      </c>
      <c r="C51" t="s">
        <v>17</v>
      </c>
      <c r="D51" t="s">
        <v>286</v>
      </c>
      <c r="E51" t="s">
        <v>306</v>
      </c>
      <c r="F51">
        <v>422854540</v>
      </c>
      <c r="G51">
        <v>802312098</v>
      </c>
      <c r="H51">
        <v>38713</v>
      </c>
      <c r="I51">
        <v>38860</v>
      </c>
      <c r="J51">
        <f>Table134567891011121323[[#This Row],[Offloading Litres]]-Table134567891011121323[[#This Row],[LOADED LITRES]]</f>
        <v>147</v>
      </c>
      <c r="K51" t="s">
        <v>32</v>
      </c>
      <c r="L51">
        <v>75337314</v>
      </c>
      <c r="M51" t="s">
        <v>402</v>
      </c>
      <c r="N51">
        <v>0.69210000000000005</v>
      </c>
      <c r="O51" s="8">
        <f>Table134567891011121323[[#This Row],[Offloading Litres]]*Table134567891011121323[[#This Row],[Rate]]</f>
        <v>26895.006000000001</v>
      </c>
      <c r="P51" s="9" t="s">
        <v>339</v>
      </c>
      <c r="Q51" t="s">
        <v>567</v>
      </c>
    </row>
    <row r="52" spans="1:17" x14ac:dyDescent="0.3">
      <c r="A52" s="7">
        <v>45703</v>
      </c>
      <c r="B52" s="7">
        <v>45704</v>
      </c>
      <c r="C52" t="s">
        <v>29</v>
      </c>
      <c r="D52" t="s">
        <v>24</v>
      </c>
      <c r="E52" t="s">
        <v>306</v>
      </c>
      <c r="F52">
        <v>422854547</v>
      </c>
      <c r="G52">
        <v>802312801</v>
      </c>
      <c r="H52">
        <v>39473</v>
      </c>
      <c r="I52">
        <v>39600</v>
      </c>
      <c r="J52">
        <f>Table134567891011121323[[#This Row],[Offloading Litres]]-Table134567891011121323[[#This Row],[LOADED LITRES]]</f>
        <v>127</v>
      </c>
      <c r="K52" t="s">
        <v>32</v>
      </c>
      <c r="L52">
        <v>75338181</v>
      </c>
      <c r="M52" t="s">
        <v>403</v>
      </c>
      <c r="N52">
        <v>0.69210000000000005</v>
      </c>
      <c r="O52" s="8">
        <f>Table134567891011121323[[#This Row],[Offloading Litres]]*Table134567891011121323[[#This Row],[Rate]]</f>
        <v>27407.160000000003</v>
      </c>
      <c r="P52" s="9" t="s">
        <v>340</v>
      </c>
      <c r="Q52" t="s">
        <v>569</v>
      </c>
    </row>
    <row r="53" spans="1:17" x14ac:dyDescent="0.3">
      <c r="A53" s="7">
        <v>45703</v>
      </c>
      <c r="B53" s="7">
        <v>45705</v>
      </c>
      <c r="C53" t="s">
        <v>28</v>
      </c>
      <c r="D53" t="s">
        <v>33</v>
      </c>
      <c r="E53" t="s">
        <v>306</v>
      </c>
      <c r="F53">
        <v>422854546</v>
      </c>
      <c r="G53">
        <v>802313072</v>
      </c>
      <c r="H53">
        <v>39500</v>
      </c>
      <c r="I53">
        <v>39536</v>
      </c>
      <c r="J53">
        <f>Table134567891011121323[[#This Row],[Offloading Litres]]-Table134567891011121323[[#This Row],[LOADED LITRES]]</f>
        <v>36</v>
      </c>
      <c r="K53" t="s">
        <v>32</v>
      </c>
      <c r="L53">
        <v>75338392</v>
      </c>
      <c r="M53" t="s">
        <v>404</v>
      </c>
      <c r="N53">
        <v>0.69210000000000005</v>
      </c>
      <c r="O53" s="8">
        <f>Table134567891011121323[[#This Row],[Offloading Litres]]*Table134567891011121323[[#This Row],[Rate]]</f>
        <v>27362.865600000001</v>
      </c>
      <c r="P53" s="9" t="s">
        <v>341</v>
      </c>
      <c r="Q53" t="s">
        <v>571</v>
      </c>
    </row>
    <row r="54" spans="1:17" x14ac:dyDescent="0.3">
      <c r="A54" s="7">
        <v>45704</v>
      </c>
      <c r="B54" s="7">
        <v>45708</v>
      </c>
      <c r="C54" t="s">
        <v>34</v>
      </c>
      <c r="D54" t="s">
        <v>35</v>
      </c>
      <c r="E54" t="s">
        <v>40</v>
      </c>
      <c r="F54">
        <v>422790790</v>
      </c>
      <c r="G54">
        <v>802314016</v>
      </c>
      <c r="H54">
        <v>43737</v>
      </c>
      <c r="I54">
        <v>43815</v>
      </c>
      <c r="J54">
        <f>Table134567891011121323[[#This Row],[Offloading Litres]]-Table134567891011121323[[#This Row],[LOADED LITRES]]</f>
        <v>78</v>
      </c>
      <c r="K54" t="s">
        <v>25</v>
      </c>
      <c r="L54">
        <v>75339365</v>
      </c>
      <c r="M54" t="s">
        <v>449</v>
      </c>
      <c r="N54">
        <v>0.749</v>
      </c>
      <c r="O54" s="8">
        <f>Table134567891011121323[[#This Row],[Offloading Litres]]*Table134567891011121323[[#This Row],[Rate]]</f>
        <v>32817.434999999998</v>
      </c>
      <c r="P54" s="9" t="s">
        <v>411</v>
      </c>
      <c r="Q54" t="s">
        <v>580</v>
      </c>
    </row>
    <row r="55" spans="1:17" x14ac:dyDescent="0.3">
      <c r="A55" s="7">
        <v>45704</v>
      </c>
      <c r="B55" s="7">
        <v>45705</v>
      </c>
      <c r="C55" t="s">
        <v>22</v>
      </c>
      <c r="D55" t="s">
        <v>26</v>
      </c>
      <c r="E55" t="s">
        <v>16</v>
      </c>
      <c r="F55">
        <v>422873005</v>
      </c>
      <c r="G55">
        <v>802514005</v>
      </c>
      <c r="H55">
        <v>39649</v>
      </c>
      <c r="I55">
        <v>39738</v>
      </c>
      <c r="J55">
        <f>Table134567891011121323[[#This Row],[Offloading Litres]]-Table134567891011121323[[#This Row],[LOADED LITRES]]</f>
        <v>89</v>
      </c>
      <c r="K55" t="s">
        <v>32</v>
      </c>
      <c r="L55">
        <v>75339353</v>
      </c>
      <c r="M55" t="s">
        <v>450</v>
      </c>
      <c r="N55">
        <v>0.69269999999999998</v>
      </c>
      <c r="O55" s="8">
        <f>Table134567891011121323[[#This Row],[Offloading Litres]]*Table134567891011121323[[#This Row],[Rate]]</f>
        <v>27526.512599999998</v>
      </c>
      <c r="P55" s="9" t="s">
        <v>451</v>
      </c>
      <c r="Q55" t="s">
        <v>576</v>
      </c>
    </row>
    <row r="56" spans="1:17" x14ac:dyDescent="0.3">
      <c r="A56" s="7">
        <v>45704</v>
      </c>
      <c r="B56" s="7">
        <v>45706</v>
      </c>
      <c r="C56" t="s">
        <v>23</v>
      </c>
      <c r="D56" t="s">
        <v>287</v>
      </c>
      <c r="E56" t="s">
        <v>16</v>
      </c>
      <c r="F56">
        <v>422873151</v>
      </c>
      <c r="G56">
        <v>802314002</v>
      </c>
      <c r="H56">
        <v>43707</v>
      </c>
      <c r="I56">
        <v>43923</v>
      </c>
      <c r="J56">
        <f>Table134567891011121323[[#This Row],[Offloading Litres]]-Table134567891011121323[[#This Row],[LOADED LITRES]]</f>
        <v>216</v>
      </c>
      <c r="K56" t="s">
        <v>25</v>
      </c>
      <c r="L56">
        <v>75339347</v>
      </c>
      <c r="M56" t="s">
        <v>405</v>
      </c>
      <c r="N56">
        <v>0.69269999999999998</v>
      </c>
      <c r="O56" s="8">
        <f>Table134567891011121323[[#This Row],[Offloading Litres]]*Table134567891011121323[[#This Row],[Rate]]</f>
        <v>30425.462100000001</v>
      </c>
      <c r="P56" s="9" t="s">
        <v>351</v>
      </c>
      <c r="Q56" t="s">
        <v>577</v>
      </c>
    </row>
    <row r="57" spans="1:17" x14ac:dyDescent="0.3">
      <c r="A57" s="7">
        <v>45705</v>
      </c>
      <c r="B57" s="7">
        <v>45706</v>
      </c>
      <c r="C57" t="s">
        <v>30</v>
      </c>
      <c r="D57" t="s">
        <v>286</v>
      </c>
      <c r="E57" t="s">
        <v>16</v>
      </c>
      <c r="F57">
        <v>422873037</v>
      </c>
      <c r="G57">
        <v>802314202</v>
      </c>
      <c r="H57">
        <v>38694</v>
      </c>
      <c r="I57">
        <v>38729</v>
      </c>
      <c r="J57">
        <f>Table134567891011121323[[#This Row],[Offloading Litres]]-Table134567891011121323[[#This Row],[LOADED LITRES]]</f>
        <v>35</v>
      </c>
      <c r="K57" t="s">
        <v>32</v>
      </c>
      <c r="L57">
        <v>75339527</v>
      </c>
      <c r="M57" t="s">
        <v>406</v>
      </c>
      <c r="N57">
        <v>0.69269999999999998</v>
      </c>
      <c r="O57" s="8">
        <f>Table134567891011121323[[#This Row],[Offloading Litres]]*Table134567891011121323[[#This Row],[Rate]]</f>
        <v>26827.578300000001</v>
      </c>
      <c r="P57" s="9" t="s">
        <v>348</v>
      </c>
      <c r="Q57" t="s">
        <v>572</v>
      </c>
    </row>
    <row r="58" spans="1:17" s="12" customFormat="1" x14ac:dyDescent="0.3">
      <c r="A58" s="11">
        <v>45705</v>
      </c>
      <c r="B58" s="11">
        <v>45706</v>
      </c>
      <c r="C58" s="12" t="s">
        <v>17</v>
      </c>
      <c r="D58" s="12" t="s">
        <v>349</v>
      </c>
      <c r="E58" s="12" t="s">
        <v>16</v>
      </c>
      <c r="F58" s="12">
        <v>422873060</v>
      </c>
      <c r="G58" s="12">
        <v>802315987</v>
      </c>
      <c r="H58" s="12">
        <v>38625</v>
      </c>
      <c r="I58" s="12">
        <v>38681</v>
      </c>
      <c r="J58" s="12">
        <f>Table134567891011121323[[#This Row],[Offloading Litres]]-Table134567891011121323[[#This Row],[LOADED LITRES]]</f>
        <v>56</v>
      </c>
      <c r="K58" s="12" t="s">
        <v>32</v>
      </c>
      <c r="L58" s="12">
        <v>75341215</v>
      </c>
      <c r="M58" s="12" t="s">
        <v>407</v>
      </c>
      <c r="N58" s="12">
        <v>0.69269999999999998</v>
      </c>
      <c r="O58" s="13">
        <f>Table134567891011121323[[#This Row],[Offloading Litres]]*Table134567891011121323[[#This Row],[Rate]]</f>
        <v>26794.328699999998</v>
      </c>
      <c r="P58" s="14" t="s">
        <v>350</v>
      </c>
      <c r="Q58" s="12" t="s">
        <v>573</v>
      </c>
    </row>
    <row r="59" spans="1:17" s="15" customFormat="1" x14ac:dyDescent="0.3">
      <c r="A59" s="19">
        <v>45706</v>
      </c>
      <c r="B59" s="19">
        <v>45707</v>
      </c>
      <c r="C59" s="15" t="s">
        <v>28</v>
      </c>
      <c r="D59" s="15" t="s">
        <v>33</v>
      </c>
      <c r="E59" s="15" t="s">
        <v>16</v>
      </c>
      <c r="F59" s="15">
        <v>422873168</v>
      </c>
      <c r="G59" s="15">
        <v>802319649</v>
      </c>
      <c r="H59" s="15">
        <v>44118</v>
      </c>
      <c r="I59" s="15">
        <v>44101</v>
      </c>
      <c r="J59" s="15">
        <f>Table134567891011121323[[#This Row],[Offloading Litres]]-Table134567891011121323[[#This Row],[LOADED LITRES]]</f>
        <v>-17</v>
      </c>
      <c r="K59" s="15" t="s">
        <v>25</v>
      </c>
      <c r="L59" s="15">
        <v>75344549</v>
      </c>
      <c r="M59" s="15" t="s">
        <v>408</v>
      </c>
      <c r="N59" s="15">
        <v>0.69269999999999998</v>
      </c>
      <c r="O59" s="21">
        <f>Table134567891011121323[[#This Row],[Offloading Litres]]*Table134567891011121323[[#This Row],[Rate]]</f>
        <v>30548.762699999999</v>
      </c>
      <c r="P59" s="16" t="s">
        <v>353</v>
      </c>
      <c r="Q59" s="15" t="s">
        <v>579</v>
      </c>
    </row>
    <row r="60" spans="1:17" x14ac:dyDescent="0.3">
      <c r="A60" s="7">
        <v>45706</v>
      </c>
      <c r="B60" s="7">
        <v>45707</v>
      </c>
      <c r="C60" t="s">
        <v>22</v>
      </c>
      <c r="D60" t="s">
        <v>26</v>
      </c>
      <c r="E60" t="s">
        <v>409</v>
      </c>
      <c r="F60">
        <v>423183148</v>
      </c>
      <c r="G60">
        <v>802323770</v>
      </c>
      <c r="H60">
        <v>43485</v>
      </c>
      <c r="I60">
        <v>43438</v>
      </c>
      <c r="J60">
        <f>Table134567891011121323[[#This Row],[Offloading Litres]]-Table134567891011121323[[#This Row],[LOADED LITRES]]</f>
        <v>-47</v>
      </c>
      <c r="K60" t="s">
        <v>25</v>
      </c>
      <c r="L60">
        <v>75348390</v>
      </c>
      <c r="M60" t="s">
        <v>452</v>
      </c>
      <c r="N60">
        <v>0.70220000000000005</v>
      </c>
      <c r="O60" s="8">
        <f>Table134567891011121323[[#This Row],[Offloading Litres]]*Table134567891011121323[[#This Row],[Rate]]</f>
        <v>30502.163600000003</v>
      </c>
      <c r="P60" s="24" t="s">
        <v>410</v>
      </c>
      <c r="Q60" t="s">
        <v>578</v>
      </c>
    </row>
    <row r="61" spans="1:17" x14ac:dyDescent="0.3">
      <c r="A61" s="7">
        <v>45707</v>
      </c>
      <c r="B61" s="7">
        <v>45708</v>
      </c>
      <c r="C61" t="s">
        <v>30</v>
      </c>
      <c r="D61" t="s">
        <v>286</v>
      </c>
      <c r="E61" t="s">
        <v>409</v>
      </c>
      <c r="F61" s="10">
        <v>423183168</v>
      </c>
      <c r="G61">
        <v>802328549</v>
      </c>
      <c r="H61">
        <v>43616</v>
      </c>
      <c r="I61">
        <v>43727</v>
      </c>
      <c r="J61">
        <f>Table134567891011121323[[#This Row],[Offloading Litres]]-Table134567891011121323[[#This Row],[LOADED LITRES]]</f>
        <v>111</v>
      </c>
      <c r="K61" t="s">
        <v>25</v>
      </c>
      <c r="L61">
        <v>75353250</v>
      </c>
      <c r="M61" t="s">
        <v>453</v>
      </c>
      <c r="N61">
        <v>0.70220000000000005</v>
      </c>
      <c r="O61" s="8">
        <f>Table134567891011121323[[#This Row],[Offloading Litres]]*Table134567891011121323[[#This Row],[Rate]]</f>
        <v>30705.099400000003</v>
      </c>
      <c r="P61" s="9" t="s">
        <v>412</v>
      </c>
      <c r="Q61" t="s">
        <v>581</v>
      </c>
    </row>
    <row r="62" spans="1:17" x14ac:dyDescent="0.3">
      <c r="A62" s="7">
        <v>45707</v>
      </c>
      <c r="B62" s="7">
        <v>45710</v>
      </c>
      <c r="C62" t="s">
        <v>23</v>
      </c>
      <c r="D62" t="s">
        <v>287</v>
      </c>
      <c r="E62" t="s">
        <v>409</v>
      </c>
      <c r="F62" s="10">
        <v>423183157</v>
      </c>
      <c r="G62">
        <v>802325548</v>
      </c>
      <c r="H62">
        <v>43589</v>
      </c>
      <c r="I62">
        <v>43867</v>
      </c>
      <c r="J62">
        <f>Table134567891011121323[[#This Row],[Offloading Litres]]-Table134567891011121323[[#This Row],[LOADED LITRES]]</f>
        <v>278</v>
      </c>
      <c r="K62" t="s">
        <v>25</v>
      </c>
      <c r="L62">
        <v>75350263</v>
      </c>
      <c r="M62" t="s">
        <v>454</v>
      </c>
      <c r="N62">
        <v>0.70220000000000005</v>
      </c>
      <c r="O62" s="8">
        <f>Table134567891011121323[[#This Row],[Offloading Litres]]*Table134567891011121323[[#This Row],[Rate]]</f>
        <v>30803.407400000004</v>
      </c>
      <c r="P62" s="9" t="s">
        <v>415</v>
      </c>
      <c r="Q62" t="s">
        <v>583</v>
      </c>
    </row>
    <row r="63" spans="1:17" s="12" customFormat="1" x14ac:dyDescent="0.3">
      <c r="A63" s="11">
        <v>45708</v>
      </c>
      <c r="B63" s="11">
        <v>45710</v>
      </c>
      <c r="C63" s="12" t="s">
        <v>22</v>
      </c>
      <c r="D63" s="12" t="s">
        <v>26</v>
      </c>
      <c r="E63" s="12" t="s">
        <v>409</v>
      </c>
      <c r="F63" s="23">
        <v>423274425</v>
      </c>
      <c r="G63" s="12">
        <v>802329699</v>
      </c>
      <c r="H63" s="12">
        <v>39731</v>
      </c>
      <c r="I63" s="12">
        <v>39929</v>
      </c>
      <c r="J63" s="12">
        <f>Table134567891011121323[[#This Row],[Offloading Litres]]-Table134567891011121323[[#This Row],[LOADED LITRES]]</f>
        <v>198</v>
      </c>
      <c r="K63" s="12" t="s">
        <v>32</v>
      </c>
      <c r="L63" s="12">
        <v>75354412</v>
      </c>
      <c r="M63" s="12" t="s">
        <v>455</v>
      </c>
      <c r="N63" s="12">
        <v>0.70220000000000005</v>
      </c>
      <c r="O63" s="13">
        <f>Table134567891011121323[[#This Row],[Offloading Litres]]*Table134567891011121323[[#This Row],[Rate]]</f>
        <v>28038.143800000002</v>
      </c>
      <c r="P63" s="14" t="s">
        <v>413</v>
      </c>
      <c r="Q63" s="12" t="s">
        <v>584</v>
      </c>
    </row>
    <row r="64" spans="1:17" x14ac:dyDescent="0.3">
      <c r="A64" s="7">
        <v>45708</v>
      </c>
      <c r="B64" s="7">
        <v>45710</v>
      </c>
      <c r="C64" t="s">
        <v>28</v>
      </c>
      <c r="D64" t="s">
        <v>33</v>
      </c>
      <c r="E64" t="s">
        <v>409</v>
      </c>
      <c r="F64" s="10">
        <v>423274436</v>
      </c>
      <c r="G64">
        <v>802333278</v>
      </c>
      <c r="H64">
        <v>39473</v>
      </c>
      <c r="I64">
        <v>39709</v>
      </c>
      <c r="J64">
        <f>Table134567891011121323[[#This Row],[Offloading Litres]]-Table134567891011121323[[#This Row],[LOADED LITRES]]</f>
        <v>236</v>
      </c>
      <c r="K64" t="s">
        <v>32</v>
      </c>
      <c r="L64">
        <v>75357854</v>
      </c>
      <c r="M64" t="s">
        <v>456</v>
      </c>
      <c r="N64">
        <v>0.70220000000000005</v>
      </c>
      <c r="O64" s="8">
        <f>Table134567891011121323[[#This Row],[Offloading Litres]]*Table134567891011121323[[#This Row],[Rate]]</f>
        <v>27883.659800000001</v>
      </c>
      <c r="P64" s="9" t="s">
        <v>414</v>
      </c>
      <c r="Q64" t="s">
        <v>582</v>
      </c>
    </row>
    <row r="65" spans="1:17" x14ac:dyDescent="0.3">
      <c r="A65" s="7">
        <v>45705</v>
      </c>
      <c r="B65" s="7">
        <v>45707</v>
      </c>
      <c r="C65" t="s">
        <v>21</v>
      </c>
      <c r="D65" t="s">
        <v>27</v>
      </c>
      <c r="E65" t="s">
        <v>16</v>
      </c>
      <c r="F65" s="10">
        <v>422873076</v>
      </c>
      <c r="G65">
        <v>802315167</v>
      </c>
      <c r="H65">
        <v>39175</v>
      </c>
      <c r="I65">
        <v>39409</v>
      </c>
      <c r="J65">
        <f>Table134567891011121323[[#This Row],[Offloading Litres]]-Table134567891011121323[[#This Row],[LOADED LITRES]]</f>
        <v>234</v>
      </c>
      <c r="K65" t="s">
        <v>32</v>
      </c>
      <c r="L65">
        <v>75340423</v>
      </c>
      <c r="M65" t="s">
        <v>616</v>
      </c>
      <c r="N65">
        <v>0.69269999999999998</v>
      </c>
      <c r="O65" s="8">
        <f>Table134567891011121323[[#This Row],[Offloading Litres]]*Table134567891011121323[[#This Row],[Rate]]</f>
        <v>27298.614300000001</v>
      </c>
      <c r="P65" s="9" t="s">
        <v>574</v>
      </c>
      <c r="Q65" t="s">
        <v>575</v>
      </c>
    </row>
    <row r="66" spans="1:17" x14ac:dyDescent="0.3">
      <c r="A66" s="7">
        <v>45707</v>
      </c>
      <c r="B66" s="7">
        <v>45710</v>
      </c>
      <c r="C66" t="s">
        <v>21</v>
      </c>
      <c r="D66" t="s">
        <v>27</v>
      </c>
      <c r="E66" t="s">
        <v>409</v>
      </c>
      <c r="F66" s="10">
        <v>423183161</v>
      </c>
      <c r="G66">
        <v>802328509</v>
      </c>
      <c r="H66">
        <v>43643</v>
      </c>
      <c r="I66">
        <v>44054</v>
      </c>
      <c r="J66">
        <f>Table134567891011121323[[#This Row],[Offloading Litres]]-Table134567891011121323[[#This Row],[LOADED LITRES]]</f>
        <v>411</v>
      </c>
      <c r="K66" t="s">
        <v>25</v>
      </c>
      <c r="L66">
        <v>75353193</v>
      </c>
      <c r="M66" t="s">
        <v>457</v>
      </c>
      <c r="N66">
        <v>0.70220000000000005</v>
      </c>
      <c r="O66" s="8">
        <f>Table134567891011121323[[#This Row],[Offloading Litres]]*Table134567891011121323[[#This Row],[Rate]]</f>
        <v>30934.718800000002</v>
      </c>
      <c r="P66" s="9" t="s">
        <v>417</v>
      </c>
      <c r="Q66" t="s">
        <v>612</v>
      </c>
    </row>
    <row r="67" spans="1:17" x14ac:dyDescent="0.3">
      <c r="A67" s="7">
        <v>45708</v>
      </c>
      <c r="B67" s="7">
        <v>45710</v>
      </c>
      <c r="C67" t="s">
        <v>17</v>
      </c>
      <c r="D67" t="s">
        <v>19</v>
      </c>
      <c r="E67" t="s">
        <v>409</v>
      </c>
      <c r="F67" s="10">
        <v>423274429</v>
      </c>
      <c r="G67">
        <v>802333547</v>
      </c>
      <c r="H67">
        <v>38680</v>
      </c>
      <c r="I67">
        <v>38865</v>
      </c>
      <c r="J67">
        <f>Table134567891011121323[[#This Row],[Offloading Litres]]-Table134567891011121323[[#This Row],[LOADED LITRES]]</f>
        <v>185</v>
      </c>
      <c r="K67" t="s">
        <v>32</v>
      </c>
      <c r="L67">
        <v>75358072</v>
      </c>
      <c r="M67" t="s">
        <v>458</v>
      </c>
      <c r="N67">
        <v>0.70220000000000005</v>
      </c>
      <c r="O67" s="8">
        <f>Table134567891011121323[[#This Row],[Offloading Litres]]*Table134567891011121323[[#This Row],[Rate]]</f>
        <v>27291.003000000001</v>
      </c>
      <c r="P67" s="9" t="s">
        <v>416</v>
      </c>
      <c r="Q67" t="s">
        <v>585</v>
      </c>
    </row>
    <row r="68" spans="1:17" x14ac:dyDescent="0.3">
      <c r="A68" s="7">
        <v>45709</v>
      </c>
      <c r="B68" s="7">
        <v>45710</v>
      </c>
      <c r="C68" t="s">
        <v>29</v>
      </c>
      <c r="D68" t="s">
        <v>24</v>
      </c>
      <c r="E68" t="s">
        <v>409</v>
      </c>
      <c r="F68" s="10">
        <v>423274447</v>
      </c>
      <c r="G68">
        <v>802335175</v>
      </c>
      <c r="H68">
        <v>39426</v>
      </c>
      <c r="I68">
        <v>39685</v>
      </c>
      <c r="J68">
        <f>Table134567891011121323[[#This Row],[Offloading Litres]]-Table134567891011121323[[#This Row],[LOADED LITRES]]</f>
        <v>259</v>
      </c>
      <c r="K68" t="s">
        <v>32</v>
      </c>
      <c r="L68">
        <v>75359638</v>
      </c>
      <c r="M68" t="s">
        <v>459</v>
      </c>
      <c r="N68">
        <v>0.70220000000000005</v>
      </c>
      <c r="O68" s="8">
        <f>Table134567891011121323[[#This Row],[Offloading Litres]]*Table134567891011121323[[#This Row],[Rate]]</f>
        <v>27866.807000000001</v>
      </c>
      <c r="P68" s="9" t="s">
        <v>420</v>
      </c>
      <c r="Q68" t="s">
        <v>588</v>
      </c>
    </row>
    <row r="69" spans="1:17" x14ac:dyDescent="0.3">
      <c r="A69" s="7">
        <v>45709</v>
      </c>
      <c r="B69" s="7">
        <v>45710</v>
      </c>
      <c r="C69" t="s">
        <v>34</v>
      </c>
      <c r="D69" t="s">
        <v>35</v>
      </c>
      <c r="E69" t="s">
        <v>409</v>
      </c>
      <c r="F69" s="10">
        <v>423183173</v>
      </c>
      <c r="G69">
        <v>802335773</v>
      </c>
      <c r="H69">
        <v>43461</v>
      </c>
      <c r="I69">
        <v>43655</v>
      </c>
      <c r="J69">
        <f>Table134567891011121323[[#This Row],[Offloading Litres]]-Table134567891011121323[[#This Row],[LOADED LITRES]]</f>
        <v>194</v>
      </c>
      <c r="K69" t="s">
        <v>25</v>
      </c>
      <c r="L69">
        <v>75360257</v>
      </c>
      <c r="M69" t="s">
        <v>460</v>
      </c>
      <c r="N69">
        <v>0.70220000000000005</v>
      </c>
      <c r="O69" s="8">
        <f>Table134567891011121323[[#This Row],[Offloading Litres]]*Table134567891011121323[[#This Row],[Rate]]</f>
        <v>30654.541000000001</v>
      </c>
      <c r="P69" s="9" t="s">
        <v>418</v>
      </c>
      <c r="Q69" t="s">
        <v>611</v>
      </c>
    </row>
    <row r="70" spans="1:17" x14ac:dyDescent="0.3">
      <c r="A70" s="7">
        <v>45709</v>
      </c>
      <c r="B70" s="7">
        <v>45710</v>
      </c>
      <c r="C70" t="s">
        <v>30</v>
      </c>
      <c r="D70" t="s">
        <v>286</v>
      </c>
      <c r="E70" t="s">
        <v>409</v>
      </c>
      <c r="F70" s="10">
        <v>423183178</v>
      </c>
      <c r="G70">
        <v>802336927</v>
      </c>
      <c r="H70">
        <v>43390</v>
      </c>
      <c r="I70">
        <v>43722</v>
      </c>
      <c r="J70">
        <f>Table134567891011121323[[#This Row],[Offloading Litres]]-Table134567891011121323[[#This Row],[LOADED LITRES]]</f>
        <v>332</v>
      </c>
      <c r="K70" t="s">
        <v>25</v>
      </c>
      <c r="L70">
        <v>75361627</v>
      </c>
      <c r="M70" t="s">
        <v>461</v>
      </c>
      <c r="N70">
        <v>0.70220000000000005</v>
      </c>
      <c r="O70" s="8">
        <f>Table134567891011121323[[#This Row],[Offloading Litres]]*Table134567891011121323[[#This Row],[Rate]]</f>
        <v>30701.588400000001</v>
      </c>
      <c r="P70" s="9" t="s">
        <v>419</v>
      </c>
      <c r="Q70" t="s">
        <v>587</v>
      </c>
    </row>
    <row r="71" spans="1:17" x14ac:dyDescent="0.3">
      <c r="A71" s="7">
        <v>45710</v>
      </c>
      <c r="B71" s="7">
        <v>45711</v>
      </c>
      <c r="C71" t="s">
        <v>23</v>
      </c>
      <c r="D71" t="s">
        <v>287</v>
      </c>
      <c r="E71" t="s">
        <v>409</v>
      </c>
      <c r="F71" s="10">
        <v>423183183</v>
      </c>
      <c r="G71">
        <v>802340636</v>
      </c>
      <c r="H71">
        <v>43492</v>
      </c>
      <c r="I71">
        <v>43760</v>
      </c>
      <c r="J71">
        <f>Table134567891011121323[[#This Row],[Offloading Litres]]-Table134567891011121323[[#This Row],[LOADED LITRES]]</f>
        <v>268</v>
      </c>
      <c r="K71" t="s">
        <v>25</v>
      </c>
      <c r="L71">
        <v>75366145</v>
      </c>
      <c r="M71" t="s">
        <v>462</v>
      </c>
      <c r="N71">
        <v>0.70220000000000005</v>
      </c>
      <c r="O71" s="8">
        <f>Table134567891011121323[[#This Row],[Offloading Litres]]*Table134567891011121323[[#This Row],[Rate]]</f>
        <v>30728.272000000001</v>
      </c>
      <c r="P71" s="9" t="s">
        <v>423</v>
      </c>
      <c r="Q71" t="s">
        <v>589</v>
      </c>
    </row>
    <row r="72" spans="1:17" x14ac:dyDescent="0.3">
      <c r="A72" s="7">
        <v>45710</v>
      </c>
      <c r="B72" s="7">
        <v>45711</v>
      </c>
      <c r="C72" t="s">
        <v>28</v>
      </c>
      <c r="D72" t="s">
        <v>33</v>
      </c>
      <c r="E72" t="s">
        <v>409</v>
      </c>
      <c r="F72" s="10">
        <v>423183188</v>
      </c>
      <c r="G72">
        <v>802340635</v>
      </c>
      <c r="H72">
        <v>43521</v>
      </c>
      <c r="I72">
        <v>43805</v>
      </c>
      <c r="J72">
        <f>Table134567891011121323[[#This Row],[Offloading Litres]]-Table134567891011121323[[#This Row],[LOADED LITRES]]</f>
        <v>284</v>
      </c>
      <c r="K72" t="s">
        <v>25</v>
      </c>
      <c r="L72">
        <v>75366146</v>
      </c>
      <c r="M72" t="s">
        <v>463</v>
      </c>
      <c r="N72">
        <v>0.70220000000000005</v>
      </c>
      <c r="O72" s="8">
        <f>Table134567891011121323[[#This Row],[Offloading Litres]]*Table134567891011121323[[#This Row],[Rate]]</f>
        <v>30759.871000000003</v>
      </c>
      <c r="P72" s="9" t="s">
        <v>422</v>
      </c>
      <c r="Q72" t="s">
        <v>590</v>
      </c>
    </row>
    <row r="73" spans="1:17" x14ac:dyDescent="0.3">
      <c r="A73" s="7">
        <v>45710</v>
      </c>
      <c r="B73" s="7">
        <v>45711</v>
      </c>
      <c r="C73" t="s">
        <v>22</v>
      </c>
      <c r="D73" t="s">
        <v>26</v>
      </c>
      <c r="E73" t="s">
        <v>409</v>
      </c>
      <c r="F73" s="10">
        <v>423183196</v>
      </c>
      <c r="G73">
        <v>802340336</v>
      </c>
      <c r="H73">
        <v>43487</v>
      </c>
      <c r="I73">
        <v>43658</v>
      </c>
      <c r="J73">
        <f>Table134567891011121323[[#This Row],[Offloading Litres]]-Table134567891011121323[[#This Row],[LOADED LITRES]]</f>
        <v>171</v>
      </c>
      <c r="K73" t="s">
        <v>25</v>
      </c>
      <c r="L73">
        <v>75365858</v>
      </c>
      <c r="M73" t="s">
        <v>464</v>
      </c>
      <c r="N73">
        <v>0.70220000000000005</v>
      </c>
      <c r="O73" s="8">
        <f>Table134567891011121323[[#This Row],[Offloading Litres]]*Table134567891011121323[[#This Row],[Rate]]</f>
        <v>30656.6476</v>
      </c>
      <c r="P73" s="9" t="s">
        <v>421</v>
      </c>
      <c r="Q73" t="s">
        <v>610</v>
      </c>
    </row>
    <row r="74" spans="1:17" x14ac:dyDescent="0.3">
      <c r="A74" s="7">
        <v>45710</v>
      </c>
      <c r="B74" s="7">
        <v>45712</v>
      </c>
      <c r="C74" t="s">
        <v>17</v>
      </c>
      <c r="D74" t="s">
        <v>19</v>
      </c>
      <c r="E74" t="s">
        <v>409</v>
      </c>
      <c r="F74" s="10">
        <v>423183201</v>
      </c>
      <c r="G74">
        <v>802340881</v>
      </c>
      <c r="H74">
        <v>43531</v>
      </c>
      <c r="I74">
        <v>43828</v>
      </c>
      <c r="J74">
        <f>Table134567891011121323[[#This Row],[Offloading Litres]]-Table134567891011121323[[#This Row],[LOADED LITRES]]</f>
        <v>297</v>
      </c>
      <c r="K74" t="s">
        <v>25</v>
      </c>
      <c r="L74">
        <v>75366366</v>
      </c>
      <c r="M74" t="s">
        <v>465</v>
      </c>
      <c r="N74">
        <v>0.70220000000000005</v>
      </c>
      <c r="O74" s="8">
        <f>Table134567891011121323[[#This Row],[Offloading Litres]]*Table134567891011121323[[#This Row],[Rate]]</f>
        <v>30776.021600000004</v>
      </c>
      <c r="P74" s="9" t="s">
        <v>426</v>
      </c>
      <c r="Q74" t="s">
        <v>594</v>
      </c>
    </row>
    <row r="75" spans="1:17" x14ac:dyDescent="0.3">
      <c r="A75" s="7">
        <v>45710</v>
      </c>
      <c r="B75" s="7">
        <v>45712</v>
      </c>
      <c r="C75" t="s">
        <v>21</v>
      </c>
      <c r="D75" t="s">
        <v>27</v>
      </c>
      <c r="E75" t="s">
        <v>409</v>
      </c>
      <c r="F75" s="10">
        <v>423183205</v>
      </c>
      <c r="G75">
        <v>802340868</v>
      </c>
      <c r="H75">
        <v>43557</v>
      </c>
      <c r="I75">
        <v>44009</v>
      </c>
      <c r="J75">
        <f>Table134567891011121323[[#This Row],[Offloading Litres]]-Table134567891011121323[[#This Row],[LOADED LITRES]]</f>
        <v>452</v>
      </c>
      <c r="K75" t="s">
        <v>25</v>
      </c>
      <c r="L75">
        <v>75366356</v>
      </c>
      <c r="M75" t="s">
        <v>466</v>
      </c>
      <c r="N75">
        <v>0.70220000000000005</v>
      </c>
      <c r="O75" s="8">
        <f>Table134567891011121323[[#This Row],[Offloading Litres]]*Table134567891011121323[[#This Row],[Rate]]</f>
        <v>30903.1198</v>
      </c>
      <c r="P75" s="9" t="s">
        <v>424</v>
      </c>
      <c r="Q75" t="s">
        <v>591</v>
      </c>
    </row>
    <row r="76" spans="1:17" x14ac:dyDescent="0.3">
      <c r="A76" s="7">
        <v>45711</v>
      </c>
      <c r="B76" s="7">
        <v>45712</v>
      </c>
      <c r="C76" t="s">
        <v>34</v>
      </c>
      <c r="D76" t="s">
        <v>286</v>
      </c>
      <c r="E76" t="s">
        <v>409</v>
      </c>
      <c r="F76" s="10">
        <v>423183219</v>
      </c>
      <c r="G76">
        <v>802341026</v>
      </c>
      <c r="H76">
        <v>43513</v>
      </c>
      <c r="I76">
        <v>43802</v>
      </c>
      <c r="J76">
        <f>Table134567891011121323[[#This Row],[Offloading Litres]]-Table134567891011121323[[#This Row],[LOADED LITRES]]</f>
        <v>289</v>
      </c>
      <c r="K76" t="s">
        <v>25</v>
      </c>
      <c r="L76">
        <v>75366576</v>
      </c>
      <c r="M76" t="s">
        <v>467</v>
      </c>
      <c r="N76">
        <v>0.70220000000000005</v>
      </c>
      <c r="O76" s="8">
        <f>Table134567891011121323[[#This Row],[Offloading Litres]]*Table134567891011121323[[#This Row],[Rate]]</f>
        <v>30757.764400000004</v>
      </c>
      <c r="P76" s="9" t="s">
        <v>425</v>
      </c>
      <c r="Q76" t="s">
        <v>595</v>
      </c>
    </row>
    <row r="77" spans="1:17" x14ac:dyDescent="0.3">
      <c r="A77" s="7">
        <v>45711</v>
      </c>
      <c r="B77" s="7">
        <v>45712</v>
      </c>
      <c r="C77" t="s">
        <v>29</v>
      </c>
      <c r="D77" t="s">
        <v>24</v>
      </c>
      <c r="E77" t="s">
        <v>409</v>
      </c>
      <c r="F77" s="10">
        <v>423183224</v>
      </c>
      <c r="G77">
        <v>802341055</v>
      </c>
      <c r="H77">
        <v>43500</v>
      </c>
      <c r="I77">
        <v>43779</v>
      </c>
      <c r="J77">
        <f>Table134567891011121323[[#This Row],[Offloading Litres]]-Table134567891011121323[[#This Row],[LOADED LITRES]]</f>
        <v>279</v>
      </c>
      <c r="K77" t="s">
        <v>25</v>
      </c>
      <c r="L77">
        <v>75366606</v>
      </c>
      <c r="M77" t="s">
        <v>468</v>
      </c>
      <c r="N77">
        <v>0.70220000000000005</v>
      </c>
      <c r="O77" s="8">
        <f>Table134567891011121323[[#This Row],[Offloading Litres]]*Table134567891011121323[[#This Row],[Rate]]</f>
        <v>30741.613800000003</v>
      </c>
      <c r="P77" s="9" t="s">
        <v>488</v>
      </c>
      <c r="Q77" t="s">
        <v>593</v>
      </c>
    </row>
    <row r="78" spans="1:17" x14ac:dyDescent="0.3">
      <c r="A78" s="7">
        <v>45712</v>
      </c>
      <c r="B78" s="7">
        <v>45713</v>
      </c>
      <c r="C78" t="s">
        <v>23</v>
      </c>
      <c r="D78" t="s">
        <v>287</v>
      </c>
      <c r="E78" t="s">
        <v>409</v>
      </c>
      <c r="F78" s="10">
        <v>423183213</v>
      </c>
      <c r="G78">
        <v>802244557</v>
      </c>
      <c r="H78">
        <v>43420</v>
      </c>
      <c r="I78">
        <v>43515</v>
      </c>
      <c r="J78">
        <f>Table134567891011121323[[#This Row],[Offloading Litres]]-Table134567891011121323[[#This Row],[LOADED LITRES]]</f>
        <v>95</v>
      </c>
      <c r="K78" t="s">
        <v>25</v>
      </c>
      <c r="L78">
        <v>75369944</v>
      </c>
      <c r="M78" t="s">
        <v>469</v>
      </c>
      <c r="N78">
        <v>0.70220000000000005</v>
      </c>
      <c r="O78" s="8">
        <f>Table134567891011121323[[#This Row],[Offloading Litres]]*Table134567891011121323[[#This Row],[Rate]]</f>
        <v>30556.233000000004</v>
      </c>
      <c r="P78" s="9" t="s">
        <v>428</v>
      </c>
      <c r="Q78" t="s">
        <v>596</v>
      </c>
    </row>
    <row r="79" spans="1:17" x14ac:dyDescent="0.3">
      <c r="A79" s="7">
        <v>45712</v>
      </c>
      <c r="B79" s="7">
        <v>45714</v>
      </c>
      <c r="C79" t="s">
        <v>30</v>
      </c>
      <c r="D79" t="s">
        <v>35</v>
      </c>
      <c r="E79" t="s">
        <v>409</v>
      </c>
      <c r="F79" s="10">
        <v>423183229</v>
      </c>
      <c r="G79">
        <v>802346423</v>
      </c>
      <c r="H79">
        <v>43395</v>
      </c>
      <c r="I79">
        <v>43493</v>
      </c>
      <c r="J79">
        <f>Table134567891011121323[[#This Row],[Offloading Litres]]-Table134567891011121323[[#This Row],[LOADED LITRES]]</f>
        <v>98</v>
      </c>
      <c r="K79" t="s">
        <v>25</v>
      </c>
      <c r="L79">
        <v>75371679</v>
      </c>
      <c r="M79" t="s">
        <v>470</v>
      </c>
      <c r="N79">
        <v>0.70220000000000005</v>
      </c>
      <c r="O79" s="8">
        <f>Table134567891011121323[[#This Row],[Offloading Litres]]*Table134567891011121323[[#This Row],[Rate]]</f>
        <v>30540.784600000003</v>
      </c>
      <c r="P79" s="9" t="s">
        <v>429</v>
      </c>
      <c r="Q79" t="s">
        <v>602</v>
      </c>
    </row>
    <row r="80" spans="1:17" x14ac:dyDescent="0.3">
      <c r="A80" s="7">
        <v>45713</v>
      </c>
      <c r="B80" s="7">
        <v>45714</v>
      </c>
      <c r="C80" t="s">
        <v>17</v>
      </c>
      <c r="D80" t="s">
        <v>19</v>
      </c>
      <c r="E80" t="s">
        <v>409</v>
      </c>
      <c r="F80" s="10">
        <v>423183234</v>
      </c>
      <c r="G80">
        <v>802351920</v>
      </c>
      <c r="H80">
        <v>43437</v>
      </c>
      <c r="I80">
        <v>43743</v>
      </c>
      <c r="J80">
        <f>Table134567891011121323[[#This Row],[Offloading Litres]]-Table134567891011121323[[#This Row],[LOADED LITRES]]</f>
        <v>306</v>
      </c>
      <c r="K80" t="s">
        <v>25</v>
      </c>
      <c r="L80">
        <v>75377263</v>
      </c>
      <c r="M80" t="s">
        <v>471</v>
      </c>
      <c r="N80">
        <v>0.70220000000000005</v>
      </c>
      <c r="O80" s="8">
        <f>Table134567891011121323[[#This Row],[Offloading Litres]]*Table134567891011121323[[#This Row],[Rate]]</f>
        <v>30716.334600000002</v>
      </c>
      <c r="P80" s="9" t="s">
        <v>434</v>
      </c>
      <c r="Q80" t="s">
        <v>597</v>
      </c>
    </row>
    <row r="81" spans="1:17" x14ac:dyDescent="0.3">
      <c r="A81" s="7">
        <v>45714</v>
      </c>
      <c r="B81" s="7">
        <v>45714</v>
      </c>
      <c r="C81" t="s">
        <v>22</v>
      </c>
      <c r="D81" t="s">
        <v>26</v>
      </c>
      <c r="E81" t="s">
        <v>409</v>
      </c>
      <c r="F81" s="10">
        <v>423183236</v>
      </c>
      <c r="G81">
        <v>802352409</v>
      </c>
      <c r="H81">
        <v>43586</v>
      </c>
      <c r="I81">
        <v>43802</v>
      </c>
      <c r="J81">
        <f>Table134567891011121323[[#This Row],[Offloading Litres]]-Table134567891011121323[[#This Row],[LOADED LITRES]]</f>
        <v>216</v>
      </c>
      <c r="K81" t="s">
        <v>25</v>
      </c>
      <c r="L81">
        <v>75377468</v>
      </c>
      <c r="M81" t="s">
        <v>472</v>
      </c>
      <c r="N81">
        <v>0.70220000000000005</v>
      </c>
      <c r="O81" s="8">
        <f>Table134567891011121323[[#This Row],[Offloading Litres]]*Table134567891011121323[[#This Row],[Rate]]</f>
        <v>30757.764400000004</v>
      </c>
      <c r="P81" s="9" t="s">
        <v>433</v>
      </c>
      <c r="Q81" t="s">
        <v>601</v>
      </c>
    </row>
    <row r="82" spans="1:17" x14ac:dyDescent="0.3">
      <c r="A82" s="7">
        <v>45715</v>
      </c>
      <c r="B82" s="7">
        <v>45716</v>
      </c>
      <c r="C82" t="s">
        <v>29</v>
      </c>
      <c r="D82" t="s">
        <v>35</v>
      </c>
      <c r="E82" t="s">
        <v>409</v>
      </c>
      <c r="F82" s="10">
        <v>423183242</v>
      </c>
      <c r="G82">
        <v>802358422</v>
      </c>
      <c r="H82">
        <v>43464</v>
      </c>
      <c r="I82">
        <v>43567</v>
      </c>
      <c r="J82">
        <f>Table134567891011121323[[#This Row],[Offloading Litres]]-Table134567891011121323[[#This Row],[LOADED LITRES]]</f>
        <v>103</v>
      </c>
      <c r="K82" t="s">
        <v>25</v>
      </c>
      <c r="L82">
        <v>75383584</v>
      </c>
      <c r="M82" t="s">
        <v>473</v>
      </c>
      <c r="N82">
        <v>0.70220000000000005</v>
      </c>
      <c r="O82" s="8">
        <f>Table134567891011121323[[#This Row],[Offloading Litres]]*Table134567891011121323[[#This Row],[Rate]]</f>
        <v>30592.747400000004</v>
      </c>
      <c r="P82" s="9" t="s">
        <v>442</v>
      </c>
      <c r="Q82" t="s">
        <v>607</v>
      </c>
    </row>
    <row r="83" spans="1:17" x14ac:dyDescent="0.3">
      <c r="A83" s="7">
        <v>45715</v>
      </c>
      <c r="B83" s="7">
        <v>45716</v>
      </c>
      <c r="C83" t="s">
        <v>21</v>
      </c>
      <c r="D83" t="s">
        <v>27</v>
      </c>
      <c r="E83" t="s">
        <v>409</v>
      </c>
      <c r="F83" s="10">
        <v>423183250</v>
      </c>
      <c r="G83">
        <v>802359315</v>
      </c>
      <c r="H83">
        <v>43435</v>
      </c>
      <c r="I83">
        <v>43779</v>
      </c>
      <c r="J83">
        <f>Table134567891011121323[[#This Row],[Offloading Litres]]-Table134567891011121323[[#This Row],[LOADED LITRES]]</f>
        <v>344</v>
      </c>
      <c r="K83" t="s">
        <v>25</v>
      </c>
      <c r="L83">
        <v>75384874</v>
      </c>
      <c r="M83" t="s">
        <v>474</v>
      </c>
      <c r="N83">
        <v>0.70220000000000005</v>
      </c>
      <c r="O83" s="8">
        <f>Table134567891011121323[[#This Row],[Offloading Litres]]*Table134567891011121323[[#This Row],[Rate]]</f>
        <v>30741.613800000003</v>
      </c>
      <c r="P83" s="9" t="s">
        <v>440</v>
      </c>
      <c r="Q83" t="s">
        <v>606</v>
      </c>
    </row>
    <row r="84" spans="1:17" x14ac:dyDescent="0.3">
      <c r="A84" s="7">
        <v>45715</v>
      </c>
      <c r="B84" s="7">
        <v>45716</v>
      </c>
      <c r="C84" t="s">
        <v>22</v>
      </c>
      <c r="D84" t="s">
        <v>26</v>
      </c>
      <c r="E84" t="s">
        <v>409</v>
      </c>
      <c r="F84" s="10">
        <v>423183254</v>
      </c>
      <c r="G84">
        <v>802360769</v>
      </c>
      <c r="H84">
        <v>43484</v>
      </c>
      <c r="I84">
        <v>43590</v>
      </c>
      <c r="J84">
        <f>Table134567891011121323[[#This Row],[Offloading Litres]]-Table134567891011121323[[#This Row],[LOADED LITRES]]</f>
        <v>106</v>
      </c>
      <c r="K84" t="s">
        <v>25</v>
      </c>
      <c r="L84">
        <v>75386088</v>
      </c>
      <c r="M84" t="s">
        <v>475</v>
      </c>
      <c r="N84">
        <v>0.70220000000000005</v>
      </c>
      <c r="O84" s="8">
        <f>Table134567891011121323[[#This Row],[Offloading Litres]]*Table134567891011121323[[#This Row],[Rate]]</f>
        <v>30608.898000000001</v>
      </c>
      <c r="P84" s="9" t="s">
        <v>441</v>
      </c>
      <c r="Q84" t="s">
        <v>604</v>
      </c>
    </row>
    <row r="85" spans="1:17" s="12" customFormat="1" x14ac:dyDescent="0.3">
      <c r="A85" s="11">
        <v>45715</v>
      </c>
      <c r="B85" s="11">
        <v>45716</v>
      </c>
      <c r="C85" s="12" t="s">
        <v>17</v>
      </c>
      <c r="D85" s="12" t="s">
        <v>19</v>
      </c>
      <c r="E85" s="12" t="s">
        <v>409</v>
      </c>
      <c r="F85" s="23">
        <v>423183260</v>
      </c>
      <c r="G85" s="12">
        <v>802359405</v>
      </c>
      <c r="H85" s="12">
        <v>43458</v>
      </c>
      <c r="I85" s="12">
        <v>43599</v>
      </c>
      <c r="J85" s="12">
        <f>Table134567891011121323[[#This Row],[Offloading Litres]]-Table134567891011121323[[#This Row],[LOADED LITRES]]</f>
        <v>141</v>
      </c>
      <c r="K85" s="12" t="s">
        <v>25</v>
      </c>
      <c r="L85" s="12">
        <v>75384922</v>
      </c>
      <c r="M85" s="12" t="s">
        <v>476</v>
      </c>
      <c r="N85" s="12">
        <v>0.70220000000000005</v>
      </c>
      <c r="O85" s="13">
        <f>Table134567891011121323[[#This Row],[Offloading Litres]]*Table134567891011121323[[#This Row],[Rate]]</f>
        <v>30615.217800000002</v>
      </c>
      <c r="P85" s="14" t="s">
        <v>443</v>
      </c>
      <c r="Q85" s="12" t="s">
        <v>609</v>
      </c>
    </row>
    <row r="86" spans="1:17" x14ac:dyDescent="0.3">
      <c r="A86" s="7">
        <v>45716</v>
      </c>
      <c r="B86" s="7">
        <v>45717</v>
      </c>
      <c r="C86" t="s">
        <v>28</v>
      </c>
      <c r="D86" t="s">
        <v>33</v>
      </c>
      <c r="E86" t="s">
        <v>409</v>
      </c>
      <c r="F86" s="10">
        <v>423307878</v>
      </c>
      <c r="G86">
        <v>802361672</v>
      </c>
      <c r="H86">
        <v>43560</v>
      </c>
      <c r="I86">
        <v>43543</v>
      </c>
      <c r="J86">
        <f>Table134567891011121323[[#This Row],[Offloading Litres]]-Table134567891011121323[[#This Row],[LOADED LITRES]]</f>
        <v>-17</v>
      </c>
      <c r="K86" t="s">
        <v>25</v>
      </c>
      <c r="L86">
        <v>75386974</v>
      </c>
      <c r="M86" t="s">
        <v>477</v>
      </c>
      <c r="N86">
        <v>0.70220000000000005</v>
      </c>
      <c r="O86" s="8">
        <f>Table134567891011121323[[#This Row],[Offloading Litres]]*Table134567891011121323[[#This Row],[Rate]]</f>
        <v>30575.894600000003</v>
      </c>
      <c r="P86" s="9" t="s">
        <v>444</v>
      </c>
      <c r="Q86" t="s">
        <v>803</v>
      </c>
    </row>
    <row r="87" spans="1:17" x14ac:dyDescent="0.3">
      <c r="A87" s="7">
        <v>45716</v>
      </c>
      <c r="B87" s="7">
        <v>45718</v>
      </c>
      <c r="C87" t="s">
        <v>34</v>
      </c>
      <c r="D87" t="s">
        <v>286</v>
      </c>
      <c r="E87" t="s">
        <v>409</v>
      </c>
      <c r="F87" s="10">
        <v>423307880</v>
      </c>
      <c r="G87">
        <v>802362864</v>
      </c>
      <c r="H87">
        <v>43553</v>
      </c>
      <c r="I87">
        <v>43486</v>
      </c>
      <c r="J87">
        <f>Table134567891011121323[[#This Row],[Offloading Litres]]-Table134567891011121323[[#This Row],[LOADED LITRES]]</f>
        <v>-67</v>
      </c>
      <c r="K87" t="s">
        <v>25</v>
      </c>
      <c r="L87">
        <v>75388175</v>
      </c>
      <c r="M87" t="s">
        <v>478</v>
      </c>
      <c r="N87">
        <v>0.70220000000000005</v>
      </c>
      <c r="O87" s="8">
        <f>Table134567891011121323[[#This Row],[Offloading Litres]]*Table134567891011121323[[#This Row],[Rate]]</f>
        <v>30535.869200000001</v>
      </c>
      <c r="P87" s="9" t="s">
        <v>445</v>
      </c>
      <c r="Q87" t="s">
        <v>802</v>
      </c>
    </row>
    <row r="88" spans="1:17" x14ac:dyDescent="0.3">
      <c r="A88" s="7">
        <v>45716</v>
      </c>
      <c r="B88" s="7">
        <v>45718</v>
      </c>
      <c r="C88" t="s">
        <v>23</v>
      </c>
      <c r="D88" t="s">
        <v>287</v>
      </c>
      <c r="E88" t="s">
        <v>409</v>
      </c>
      <c r="F88" s="10">
        <v>423307881</v>
      </c>
      <c r="G88">
        <v>802365987</v>
      </c>
      <c r="H88">
        <v>43543</v>
      </c>
      <c r="I88">
        <v>43630</v>
      </c>
      <c r="J88">
        <f>Table134567891011121323[[#This Row],[Offloading Litres]]-Table134567891011121323[[#This Row],[LOADED LITRES]]</f>
        <v>87</v>
      </c>
      <c r="K88" t="s">
        <v>25</v>
      </c>
      <c r="L88">
        <v>75391261</v>
      </c>
      <c r="M88" t="s">
        <v>479</v>
      </c>
      <c r="N88">
        <v>0.70220000000000005</v>
      </c>
      <c r="O88" s="8">
        <f>Table134567891011121323[[#This Row],[Offloading Litres]]*Table134567891011121323[[#This Row],[Rate]]</f>
        <v>30636.986000000001</v>
      </c>
      <c r="P88" s="9" t="s">
        <v>446</v>
      </c>
      <c r="Q88" t="s">
        <v>804</v>
      </c>
    </row>
    <row r="89" spans="1:17" x14ac:dyDescent="0.3">
      <c r="A89" s="7">
        <v>45712</v>
      </c>
      <c r="B89" s="7">
        <v>45712</v>
      </c>
      <c r="C89" t="s">
        <v>22</v>
      </c>
      <c r="D89" t="s">
        <v>26</v>
      </c>
      <c r="E89" t="s">
        <v>306</v>
      </c>
      <c r="F89" s="10">
        <v>423324010</v>
      </c>
      <c r="G89">
        <v>802342230</v>
      </c>
      <c r="H89">
        <v>39094</v>
      </c>
      <c r="I89">
        <v>39290</v>
      </c>
      <c r="J89">
        <f>Table134567891011121323[[#This Row],[Offloading Litres]]-Table134567891011121323[[#This Row],[LOADED LITRES]]</f>
        <v>196</v>
      </c>
      <c r="K89" t="s">
        <v>32</v>
      </c>
      <c r="L89">
        <v>75367629</v>
      </c>
      <c r="M89" t="s">
        <v>480</v>
      </c>
      <c r="N89">
        <v>0.69210000000000005</v>
      </c>
      <c r="O89" s="8">
        <f>Table134567891011121323[[#This Row],[Offloading Litres]]*Table134567891011121323[[#This Row],[Rate]]</f>
        <v>27192.609</v>
      </c>
      <c r="P89" s="9" t="s">
        <v>427</v>
      </c>
      <c r="Q89" t="s">
        <v>592</v>
      </c>
    </row>
    <row r="90" spans="1:17" x14ac:dyDescent="0.3">
      <c r="A90" s="7">
        <v>45713</v>
      </c>
      <c r="B90" s="7">
        <v>45714</v>
      </c>
      <c r="C90" t="s">
        <v>21</v>
      </c>
      <c r="D90" t="s">
        <v>27</v>
      </c>
      <c r="E90" t="s">
        <v>306</v>
      </c>
      <c r="F90" s="10">
        <v>423324023</v>
      </c>
      <c r="G90">
        <v>802349126</v>
      </c>
      <c r="H90">
        <v>39120</v>
      </c>
      <c r="I90">
        <v>39501</v>
      </c>
      <c r="J90">
        <f>Table134567891011121323[[#This Row],[Offloading Litres]]-Table134567891011121323[[#This Row],[LOADED LITRES]]</f>
        <v>381</v>
      </c>
      <c r="K90" t="s">
        <v>32</v>
      </c>
      <c r="L90">
        <v>75374433</v>
      </c>
      <c r="M90" t="s">
        <v>481</v>
      </c>
      <c r="N90">
        <v>0.69210000000000005</v>
      </c>
      <c r="O90" s="8">
        <f>Table134567891011121323[[#This Row],[Offloading Litres]]*Table134567891011121323[[#This Row],[Rate]]</f>
        <v>27338.642100000001</v>
      </c>
      <c r="P90" s="9" t="s">
        <v>431</v>
      </c>
      <c r="Q90" t="s">
        <v>600</v>
      </c>
    </row>
    <row r="91" spans="1:17" x14ac:dyDescent="0.3">
      <c r="A91" s="7">
        <v>45713</v>
      </c>
      <c r="B91" s="7">
        <v>45714</v>
      </c>
      <c r="C91" t="s">
        <v>29</v>
      </c>
      <c r="D91" t="s">
        <v>24</v>
      </c>
      <c r="E91" t="s">
        <v>306</v>
      </c>
      <c r="F91" s="10">
        <v>423324047</v>
      </c>
      <c r="G91">
        <v>802348560</v>
      </c>
      <c r="H91">
        <v>39433</v>
      </c>
      <c r="I91">
        <v>39578</v>
      </c>
      <c r="J91">
        <f>Table134567891011121323[[#This Row],[Offloading Litres]]-Table134567891011121323[[#This Row],[LOADED LITRES]]</f>
        <v>145</v>
      </c>
      <c r="K91" t="s">
        <v>32</v>
      </c>
      <c r="L91">
        <v>75373759</v>
      </c>
      <c r="M91" t="s">
        <v>482</v>
      </c>
      <c r="N91">
        <v>0.69210000000000005</v>
      </c>
      <c r="O91" s="8">
        <f>Table134567891011121323[[#This Row],[Offloading Litres]]*Table134567891011121323[[#This Row],[Rate]]</f>
        <v>27391.933800000003</v>
      </c>
      <c r="P91" s="9" t="s">
        <v>430</v>
      </c>
      <c r="Q91" t="s">
        <v>599</v>
      </c>
    </row>
    <row r="92" spans="1:17" x14ac:dyDescent="0.3">
      <c r="A92" s="7">
        <v>45713</v>
      </c>
      <c r="B92" s="7">
        <v>45714</v>
      </c>
      <c r="C92" t="s">
        <v>34</v>
      </c>
      <c r="D92" t="s">
        <v>286</v>
      </c>
      <c r="E92" t="s">
        <v>306</v>
      </c>
      <c r="F92" s="10">
        <v>423324056</v>
      </c>
      <c r="G92">
        <v>802351122</v>
      </c>
      <c r="H92">
        <v>38604</v>
      </c>
      <c r="I92">
        <v>38844</v>
      </c>
      <c r="J92">
        <f>Table134567891011121323[[#This Row],[Offloading Litres]]-Table134567891011121323[[#This Row],[LOADED LITRES]]</f>
        <v>240</v>
      </c>
      <c r="K92" t="s">
        <v>32</v>
      </c>
      <c r="L92">
        <v>75376446</v>
      </c>
      <c r="M92" t="s">
        <v>483</v>
      </c>
      <c r="N92">
        <v>0.69210000000000005</v>
      </c>
      <c r="O92" s="8">
        <f>Table134567891011121323[[#This Row],[Offloading Litres]]*Table134567891011121323[[#This Row],[Rate]]</f>
        <v>26883.932400000002</v>
      </c>
      <c r="P92" s="9" t="s">
        <v>432</v>
      </c>
      <c r="Q92" t="s">
        <v>598</v>
      </c>
    </row>
    <row r="93" spans="1:17" x14ac:dyDescent="0.3">
      <c r="A93" s="7">
        <v>45715</v>
      </c>
      <c r="B93" s="7">
        <v>45716</v>
      </c>
      <c r="C93" t="s">
        <v>30</v>
      </c>
      <c r="D93" t="s">
        <v>24</v>
      </c>
      <c r="E93" t="s">
        <v>16</v>
      </c>
      <c r="F93">
        <v>423474104</v>
      </c>
      <c r="G93">
        <v>802358421</v>
      </c>
      <c r="H93">
        <v>38625</v>
      </c>
      <c r="I93">
        <v>38769</v>
      </c>
      <c r="J93">
        <f>Table134567891011121323[[#This Row],[Offloading Litres]]-Table134567891011121323[[#This Row],[LOADED LITRES]]</f>
        <v>144</v>
      </c>
      <c r="K93" t="s">
        <v>32</v>
      </c>
      <c r="L93">
        <v>75383583</v>
      </c>
      <c r="M93" t="s">
        <v>484</v>
      </c>
      <c r="N93">
        <v>0.69269999999999998</v>
      </c>
      <c r="O93" s="8">
        <f>Table134567891011121323[[#This Row],[Offloading Litres]]*Table134567891011121323[[#This Row],[Rate]]</f>
        <v>26855.2863</v>
      </c>
      <c r="P93" s="9" t="s">
        <v>435</v>
      </c>
      <c r="Q93" t="s">
        <v>605</v>
      </c>
    </row>
    <row r="94" spans="1:17" x14ac:dyDescent="0.3">
      <c r="A94" s="7">
        <v>45714</v>
      </c>
      <c r="B94" s="7">
        <v>45715</v>
      </c>
      <c r="C94" t="s">
        <v>23</v>
      </c>
      <c r="D94" t="s">
        <v>287</v>
      </c>
      <c r="E94" t="s">
        <v>306</v>
      </c>
      <c r="F94">
        <v>423324077</v>
      </c>
      <c r="G94">
        <v>802356846</v>
      </c>
      <c r="H94">
        <v>38684</v>
      </c>
      <c r="I94">
        <v>38885</v>
      </c>
      <c r="J94">
        <f>Table134567891011121323[[#This Row],[Offloading Litres]]-Table134567891011121323[[#This Row],[LOADED LITRES]]</f>
        <v>201</v>
      </c>
      <c r="K94" t="s">
        <v>32</v>
      </c>
      <c r="L94">
        <v>75382114</v>
      </c>
      <c r="M94" t="s">
        <v>485</v>
      </c>
      <c r="N94">
        <v>0.69210000000000005</v>
      </c>
      <c r="O94" s="8">
        <f>Table134567891011121323[[#This Row],[Offloading Litres]]*Table134567891011121323[[#This Row],[Rate]]</f>
        <v>26912.308500000003</v>
      </c>
      <c r="P94" s="9" t="s">
        <v>436</v>
      </c>
      <c r="Q94" t="s">
        <v>603</v>
      </c>
    </row>
    <row r="95" spans="1:17" x14ac:dyDescent="0.3">
      <c r="A95" s="7">
        <v>45716</v>
      </c>
      <c r="B95" s="7">
        <v>45717</v>
      </c>
      <c r="C95" t="s">
        <v>29</v>
      </c>
      <c r="D95" t="s">
        <v>35</v>
      </c>
      <c r="E95" t="s">
        <v>437</v>
      </c>
      <c r="F95">
        <v>423580246</v>
      </c>
      <c r="G95">
        <v>802364526</v>
      </c>
      <c r="H95">
        <v>39583</v>
      </c>
      <c r="I95">
        <v>39707</v>
      </c>
      <c r="J95">
        <f>Table134567891011121323[[#This Row],[Offloading Litres]]-Table134567891011121323[[#This Row],[LOADED LITRES]]</f>
        <v>124</v>
      </c>
      <c r="K95" t="s">
        <v>32</v>
      </c>
      <c r="L95">
        <v>75389698</v>
      </c>
      <c r="M95" t="s">
        <v>486</v>
      </c>
      <c r="N95">
        <v>0.28899999999999998</v>
      </c>
      <c r="O95" s="8">
        <f>Table134567891011121323[[#This Row],[Offloading Litres]]*Table134567891011121323[[#This Row],[Rate]]</f>
        <v>11475.322999999999</v>
      </c>
      <c r="P95" s="9" t="s">
        <v>438</v>
      </c>
      <c r="Q95" t="s">
        <v>783</v>
      </c>
    </row>
    <row r="96" spans="1:17" x14ac:dyDescent="0.3">
      <c r="A96" s="7">
        <v>45716</v>
      </c>
      <c r="B96" s="7">
        <v>45717</v>
      </c>
      <c r="C96" t="s">
        <v>17</v>
      </c>
      <c r="D96" t="s">
        <v>19</v>
      </c>
      <c r="E96" t="s">
        <v>437</v>
      </c>
      <c r="F96">
        <v>423580251</v>
      </c>
      <c r="G96">
        <v>802366025</v>
      </c>
      <c r="H96">
        <v>38836</v>
      </c>
      <c r="I96">
        <v>38931</v>
      </c>
      <c r="J96">
        <f>Table134567891011121323[[#This Row],[Offloading Litres]]-Table134567891011121323[[#This Row],[LOADED LITRES]]</f>
        <v>95</v>
      </c>
      <c r="K96" t="s">
        <v>32</v>
      </c>
      <c r="L96">
        <v>75391285</v>
      </c>
      <c r="M96" t="s">
        <v>487</v>
      </c>
      <c r="N96">
        <v>0.28899999999999998</v>
      </c>
      <c r="O96" s="8">
        <f>Table134567891011121323[[#This Row],[Offloading Litres]]*Table134567891011121323[[#This Row],[Rate]]</f>
        <v>11251.058999999999</v>
      </c>
      <c r="P96" s="9" t="s">
        <v>439</v>
      </c>
      <c r="Q96" t="s">
        <v>608</v>
      </c>
    </row>
  </sheetData>
  <phoneticPr fontId="2" type="noConversion"/>
  <conditionalFormatting sqref="F61:F92">
    <cfRule type="duplicateValues" dxfId="31" priority="5"/>
  </conditionalFormatting>
  <conditionalFormatting sqref="F1:G1">
    <cfRule type="duplicateValues" dxfId="30" priority="2"/>
  </conditionalFormatting>
  <conditionalFormatting sqref="G1">
    <cfRule type="duplicateValues" dxfId="29" priority="3"/>
  </conditionalFormatting>
  <conditionalFormatting sqref="L1">
    <cfRule type="duplicateValues" dxfId="28" priority="4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F2321-F1CB-4950-B657-8FED79415702}">
  <dimension ref="A1:T82"/>
  <sheetViews>
    <sheetView topLeftCell="B34" zoomScaleNormal="100" workbookViewId="0">
      <selection activeCell="G47" sqref="G47"/>
    </sheetView>
  </sheetViews>
  <sheetFormatPr defaultRowHeight="14.4" x14ac:dyDescent="0.3"/>
  <cols>
    <col min="1" max="2" width="13.33203125" customWidth="1"/>
    <col min="3" max="3" width="9.88671875" customWidth="1"/>
    <col min="4" max="4" width="20.33203125" customWidth="1"/>
    <col min="5" max="5" width="22.88671875" customWidth="1"/>
    <col min="6" max="9" width="13.33203125" customWidth="1"/>
    <col min="10" max="10" width="9" customWidth="1"/>
    <col min="11" max="11" width="8.33203125" customWidth="1"/>
    <col min="12" max="12" width="10.44140625" customWidth="1"/>
    <col min="13" max="13" width="13.5546875" customWidth="1"/>
    <col min="14" max="14" width="9.44140625" customWidth="1"/>
    <col min="15" max="15" width="10.109375" style="8" customWidth="1"/>
    <col min="16" max="16" width="14.6640625" customWidth="1"/>
    <col min="17" max="17" width="10.6640625" customWidth="1"/>
    <col min="18" max="18" width="14.6640625" customWidth="1"/>
    <col min="19" max="19" width="9.33203125" customWidth="1"/>
  </cols>
  <sheetData>
    <row r="1" spans="1:20" ht="15.6" thickBot="1" x14ac:dyDescent="0.35">
      <c r="A1" s="1" t="s">
        <v>0</v>
      </c>
      <c r="B1" s="1" t="s">
        <v>1</v>
      </c>
      <c r="C1" s="2" t="s">
        <v>38</v>
      </c>
      <c r="D1" s="2" t="s">
        <v>2</v>
      </c>
      <c r="E1" s="2" t="s">
        <v>3</v>
      </c>
      <c r="F1" s="2" t="s">
        <v>37</v>
      </c>
      <c r="G1" s="2" t="s">
        <v>4</v>
      </c>
      <c r="H1" s="2" t="s">
        <v>36</v>
      </c>
      <c r="I1" s="2" t="s">
        <v>5</v>
      </c>
      <c r="J1" s="2" t="s">
        <v>6</v>
      </c>
      <c r="K1" s="2" t="s">
        <v>7</v>
      </c>
      <c r="L1" s="3" t="s">
        <v>8</v>
      </c>
      <c r="M1" s="2" t="s">
        <v>9</v>
      </c>
      <c r="N1" s="2" t="s">
        <v>10</v>
      </c>
      <c r="O1" s="4" t="s">
        <v>11</v>
      </c>
      <c r="P1" s="5" t="s">
        <v>12</v>
      </c>
      <c r="Q1" s="5" t="s">
        <v>18</v>
      </c>
      <c r="R1" s="2" t="s">
        <v>13</v>
      </c>
      <c r="S1" s="6" t="s">
        <v>20</v>
      </c>
      <c r="T1" s="6" t="s">
        <v>14</v>
      </c>
    </row>
    <row r="2" spans="1:20" ht="15" thickTop="1" x14ac:dyDescent="0.3">
      <c r="A2" s="7">
        <v>45717</v>
      </c>
      <c r="B2" s="7">
        <v>45718</v>
      </c>
      <c r="C2" t="s">
        <v>22</v>
      </c>
      <c r="D2" t="s">
        <v>26</v>
      </c>
      <c r="E2" t="s">
        <v>617</v>
      </c>
      <c r="F2">
        <v>423468615</v>
      </c>
      <c r="G2">
        <v>802369550</v>
      </c>
      <c r="H2">
        <v>39628</v>
      </c>
      <c r="I2">
        <v>39800</v>
      </c>
      <c r="J2">
        <f>Table1345678910111213234[[#This Row],[Offloading Litres]]-Table1345678910111213234[[#This Row],[LOADED LITRES]]</f>
        <v>172</v>
      </c>
      <c r="K2" t="s">
        <v>32</v>
      </c>
      <c r="L2">
        <v>75394992</v>
      </c>
      <c r="M2" t="s">
        <v>672</v>
      </c>
      <c r="N2">
        <v>0.69210000000000005</v>
      </c>
      <c r="O2" s="8">
        <f>Table1345678910111213234[[#This Row],[Offloading Litres]]*Table1345678910111213234[[#This Row],[Rate]]</f>
        <v>27545.58</v>
      </c>
      <c r="P2" s="9" t="s">
        <v>618</v>
      </c>
      <c r="Q2" t="s">
        <v>805</v>
      </c>
    </row>
    <row r="3" spans="1:20" x14ac:dyDescent="0.3">
      <c r="A3" s="7">
        <v>45718</v>
      </c>
      <c r="B3" s="7">
        <v>45719</v>
      </c>
      <c r="C3" t="s">
        <v>30</v>
      </c>
      <c r="D3" t="s">
        <v>349</v>
      </c>
      <c r="E3" t="s">
        <v>617</v>
      </c>
      <c r="F3">
        <v>423469565</v>
      </c>
      <c r="G3">
        <v>802370867</v>
      </c>
      <c r="H3">
        <v>38701</v>
      </c>
      <c r="I3">
        <v>38857</v>
      </c>
      <c r="J3">
        <f>Table1345678910111213234[[#This Row],[Offloading Litres]]-Table1345678910111213234[[#This Row],[LOADED LITRES]]</f>
        <v>156</v>
      </c>
      <c r="K3" t="s">
        <v>32</v>
      </c>
      <c r="L3">
        <v>75396231</v>
      </c>
      <c r="M3" t="s">
        <v>675</v>
      </c>
      <c r="N3">
        <v>0.69210000000000005</v>
      </c>
      <c r="O3" s="8">
        <f>Table1345678910111213234[[#This Row],[Offloading Litres]]*Table1345678910111213234[[#This Row],[Rate]]</f>
        <v>26892.929700000001</v>
      </c>
      <c r="P3" s="9" t="s">
        <v>621</v>
      </c>
      <c r="Q3" t="s">
        <v>785</v>
      </c>
    </row>
    <row r="4" spans="1:20" x14ac:dyDescent="0.3">
      <c r="A4" s="7">
        <v>45719</v>
      </c>
      <c r="B4" s="7">
        <v>45720</v>
      </c>
      <c r="C4" t="s">
        <v>34</v>
      </c>
      <c r="D4" t="s">
        <v>286</v>
      </c>
      <c r="E4" t="s">
        <v>409</v>
      </c>
      <c r="F4">
        <v>423307882</v>
      </c>
      <c r="G4">
        <v>802371074</v>
      </c>
      <c r="H4">
        <v>43530</v>
      </c>
      <c r="I4">
        <v>43675</v>
      </c>
      <c r="J4">
        <f>Table1345678910111213234[[#This Row],[Offloading Litres]]-Table1345678910111213234[[#This Row],[LOADED LITRES]]</f>
        <v>145</v>
      </c>
      <c r="K4" t="s">
        <v>25</v>
      </c>
      <c r="L4">
        <v>75396469</v>
      </c>
      <c r="M4" t="s">
        <v>676</v>
      </c>
      <c r="N4">
        <v>0.70220000000000005</v>
      </c>
      <c r="O4" s="8">
        <f>Table1345678910111213234[[#This Row],[Offloading Litres]]*Table1345678910111213234[[#This Row],[Rate]]</f>
        <v>30668.585000000003</v>
      </c>
      <c r="P4" s="9" t="s">
        <v>622</v>
      </c>
      <c r="Q4" t="s">
        <v>791</v>
      </c>
    </row>
    <row r="5" spans="1:20" x14ac:dyDescent="0.3">
      <c r="A5" s="7">
        <v>45719</v>
      </c>
      <c r="B5" s="7">
        <v>45719</v>
      </c>
      <c r="C5" t="s">
        <v>21</v>
      </c>
      <c r="D5" t="s">
        <v>27</v>
      </c>
      <c r="E5" t="s">
        <v>409</v>
      </c>
      <c r="F5">
        <v>423307884</v>
      </c>
      <c r="G5">
        <v>802371084</v>
      </c>
      <c r="H5">
        <v>43548</v>
      </c>
      <c r="I5">
        <v>43920</v>
      </c>
      <c r="J5">
        <f>Table1345678910111213234[[#This Row],[Offloading Litres]]-Table1345678910111213234[[#This Row],[LOADED LITRES]]</f>
        <v>372</v>
      </c>
      <c r="K5" t="s">
        <v>25</v>
      </c>
      <c r="L5">
        <v>75396481</v>
      </c>
      <c r="M5" t="s">
        <v>677</v>
      </c>
      <c r="N5">
        <v>0.70220000000000005</v>
      </c>
      <c r="O5" s="8">
        <f>Table1345678910111213234[[#This Row],[Offloading Litres]]*Table1345678910111213234[[#This Row],[Rate]]</f>
        <v>30840.624000000003</v>
      </c>
      <c r="P5" s="9" t="s">
        <v>623</v>
      </c>
      <c r="Q5" t="s">
        <v>786</v>
      </c>
    </row>
    <row r="6" spans="1:20" x14ac:dyDescent="0.3">
      <c r="A6" s="7">
        <v>45719</v>
      </c>
      <c r="B6" s="7">
        <v>45719</v>
      </c>
      <c r="C6" t="s">
        <v>23</v>
      </c>
      <c r="D6" t="s">
        <v>97</v>
      </c>
      <c r="E6" t="s">
        <v>409</v>
      </c>
      <c r="F6">
        <v>423307883</v>
      </c>
      <c r="G6">
        <v>802371076</v>
      </c>
      <c r="H6">
        <v>43548</v>
      </c>
      <c r="I6">
        <v>43736</v>
      </c>
      <c r="J6">
        <f>Table1345678910111213234[[#This Row],[Offloading Litres]]-Table1345678910111213234[[#This Row],[LOADED LITRES]]</f>
        <v>188</v>
      </c>
      <c r="K6" t="s">
        <v>25</v>
      </c>
      <c r="L6">
        <v>75396472</v>
      </c>
      <c r="M6" t="s">
        <v>678</v>
      </c>
      <c r="N6">
        <v>0.70220000000000005</v>
      </c>
      <c r="O6" s="8">
        <f>Table1345678910111213234[[#This Row],[Offloading Litres]]*Table1345678910111213234[[#This Row],[Rate]]</f>
        <v>30711.4192</v>
      </c>
      <c r="P6" s="9" t="s">
        <v>625</v>
      </c>
      <c r="Q6" t="s">
        <v>792</v>
      </c>
    </row>
    <row r="7" spans="1:20" x14ac:dyDescent="0.3">
      <c r="A7" s="7">
        <v>45719</v>
      </c>
      <c r="B7" s="7">
        <v>45720</v>
      </c>
      <c r="C7" t="s">
        <v>28</v>
      </c>
      <c r="D7" t="s">
        <v>624</v>
      </c>
      <c r="E7" t="s">
        <v>409</v>
      </c>
      <c r="F7">
        <v>423307886</v>
      </c>
      <c r="G7">
        <v>802371142</v>
      </c>
      <c r="H7">
        <v>43565</v>
      </c>
      <c r="I7">
        <v>43668</v>
      </c>
      <c r="J7">
        <f>Table1345678910111213234[[#This Row],[Offloading Litres]]-Table1345678910111213234[[#This Row],[LOADED LITRES]]</f>
        <v>103</v>
      </c>
      <c r="K7" t="s">
        <v>25</v>
      </c>
      <c r="L7">
        <v>75396555</v>
      </c>
      <c r="M7" t="s">
        <v>679</v>
      </c>
      <c r="N7">
        <v>0.70220000000000005</v>
      </c>
      <c r="O7" s="8">
        <f>Table1345678910111213234[[#This Row],[Offloading Litres]]*Table1345678910111213234[[#This Row],[Rate]]</f>
        <v>30663.669600000001</v>
      </c>
      <c r="P7" s="9" t="s">
        <v>627</v>
      </c>
      <c r="Q7" t="s">
        <v>794</v>
      </c>
    </row>
    <row r="8" spans="1:20" x14ac:dyDescent="0.3">
      <c r="A8" s="7">
        <v>45719</v>
      </c>
      <c r="B8" s="7">
        <v>45720</v>
      </c>
      <c r="C8" t="s">
        <v>22</v>
      </c>
      <c r="D8" t="s">
        <v>26</v>
      </c>
      <c r="E8" t="s">
        <v>409</v>
      </c>
      <c r="F8">
        <v>423307888</v>
      </c>
      <c r="G8">
        <v>802371271</v>
      </c>
      <c r="H8">
        <v>43551</v>
      </c>
      <c r="I8">
        <v>43636</v>
      </c>
      <c r="J8">
        <f>Table1345678910111213234[[#This Row],[Offloading Litres]]-Table1345678910111213234[[#This Row],[LOADED LITRES]]</f>
        <v>85</v>
      </c>
      <c r="K8" t="s">
        <v>25</v>
      </c>
      <c r="L8">
        <v>75396683</v>
      </c>
      <c r="M8" t="s">
        <v>680</v>
      </c>
      <c r="N8">
        <v>0.70220000000000005</v>
      </c>
      <c r="O8" s="8">
        <f>Table1345678910111213234[[#This Row],[Offloading Litres]]*Table1345678910111213234[[#This Row],[Rate]]</f>
        <v>30641.199200000003</v>
      </c>
      <c r="P8" s="9" t="s">
        <v>626</v>
      </c>
      <c r="Q8" t="s">
        <v>793</v>
      </c>
    </row>
    <row r="9" spans="1:20" s="12" customFormat="1" x14ac:dyDescent="0.3">
      <c r="A9" s="7">
        <v>45720</v>
      </c>
      <c r="B9" s="7">
        <v>45721</v>
      </c>
      <c r="C9" t="s">
        <v>21</v>
      </c>
      <c r="D9" t="s">
        <v>27</v>
      </c>
      <c r="E9" t="s">
        <v>628</v>
      </c>
      <c r="F9">
        <v>423594599</v>
      </c>
      <c r="G9">
        <v>802377117</v>
      </c>
      <c r="H9">
        <v>44362</v>
      </c>
      <c r="I9">
        <v>44632</v>
      </c>
      <c r="J9">
        <f>Table1345678910111213234[[#This Row],[Offloading Litres]]-Table1345678910111213234[[#This Row],[LOADED LITRES]]</f>
        <v>270</v>
      </c>
      <c r="K9" t="s">
        <v>25</v>
      </c>
      <c r="L9">
        <v>75402610</v>
      </c>
      <c r="M9" t="s">
        <v>681</v>
      </c>
      <c r="N9">
        <v>0.69269999999999998</v>
      </c>
      <c r="O9" s="8">
        <f>Table1345678910111213234[[#This Row],[Offloading Litres]]*Table1345678910111213234[[#This Row],[Rate]]</f>
        <v>30916.5864</v>
      </c>
      <c r="P9" s="9" t="s">
        <v>629</v>
      </c>
      <c r="Q9" t="s">
        <v>796</v>
      </c>
      <c r="R9"/>
      <c r="S9"/>
      <c r="T9"/>
    </row>
    <row r="10" spans="1:20" x14ac:dyDescent="0.3">
      <c r="A10" s="7">
        <v>45720</v>
      </c>
      <c r="B10" s="7">
        <v>45722</v>
      </c>
      <c r="C10" t="s">
        <v>23</v>
      </c>
      <c r="D10" t="s">
        <v>287</v>
      </c>
      <c r="E10" t="s">
        <v>40</v>
      </c>
      <c r="F10">
        <v>423511107</v>
      </c>
      <c r="G10">
        <v>802378277</v>
      </c>
      <c r="H10">
        <v>38611</v>
      </c>
      <c r="I10">
        <v>38876</v>
      </c>
      <c r="J10">
        <f>Table1345678910111213234[[#This Row],[Offloading Litres]]-Table1345678910111213234[[#This Row],[LOADED LITRES]]</f>
        <v>265</v>
      </c>
      <c r="K10" t="s">
        <v>32</v>
      </c>
      <c r="L10">
        <v>75403966</v>
      </c>
      <c r="M10" t="s">
        <v>682</v>
      </c>
      <c r="N10">
        <v>0.75480000000000003</v>
      </c>
      <c r="O10" s="8">
        <f>Table1345678910111213234[[#This Row],[Offloading Litres]]*Table1345678910111213234[[#This Row],[Rate]]</f>
        <v>29343.604800000001</v>
      </c>
      <c r="P10" s="9" t="s">
        <v>632</v>
      </c>
      <c r="Q10" t="s">
        <v>800</v>
      </c>
    </row>
    <row r="11" spans="1:20" x14ac:dyDescent="0.3">
      <c r="A11" s="7">
        <v>45720</v>
      </c>
      <c r="B11" s="7">
        <v>45722</v>
      </c>
      <c r="C11" t="s">
        <v>34</v>
      </c>
      <c r="D11" t="s">
        <v>286</v>
      </c>
      <c r="E11" t="s">
        <v>40</v>
      </c>
      <c r="F11">
        <v>423511108</v>
      </c>
      <c r="G11">
        <v>802378338</v>
      </c>
      <c r="H11">
        <v>38627</v>
      </c>
      <c r="I11">
        <v>38882</v>
      </c>
      <c r="J11">
        <f>Table1345678910111213234[[#This Row],[Offloading Litres]]-Table1345678910111213234[[#This Row],[LOADED LITRES]]</f>
        <v>255</v>
      </c>
      <c r="K11" t="s">
        <v>32</v>
      </c>
      <c r="L11">
        <v>75404062</v>
      </c>
      <c r="M11" t="s">
        <v>683</v>
      </c>
      <c r="N11">
        <v>0.75480000000000003</v>
      </c>
      <c r="O11" s="8">
        <f>Table1345678910111213234[[#This Row],[Offloading Litres]]*Table1345678910111213234[[#This Row],[Rate]]</f>
        <v>29348.133600000001</v>
      </c>
      <c r="P11" s="9" t="s">
        <v>633</v>
      </c>
      <c r="Q11" t="s">
        <v>789</v>
      </c>
    </row>
    <row r="12" spans="1:20" x14ac:dyDescent="0.3">
      <c r="A12" s="7">
        <v>45718</v>
      </c>
      <c r="B12" s="7">
        <v>45719</v>
      </c>
      <c r="C12" t="s">
        <v>29</v>
      </c>
      <c r="D12" t="s">
        <v>619</v>
      </c>
      <c r="E12" t="s">
        <v>617</v>
      </c>
      <c r="F12">
        <v>423469325</v>
      </c>
      <c r="G12">
        <v>802370220</v>
      </c>
      <c r="H12">
        <v>39528</v>
      </c>
      <c r="I12">
        <v>39681</v>
      </c>
      <c r="J12">
        <f>Table1345678910111213234[[#This Row],[Offloading Litres]]-Table1345678910111213234[[#This Row],[LOADED LITRES]]</f>
        <v>153</v>
      </c>
      <c r="K12" t="s">
        <v>32</v>
      </c>
      <c r="L12">
        <v>75395618</v>
      </c>
      <c r="M12" t="s">
        <v>747</v>
      </c>
      <c r="N12">
        <v>0.69210000000000005</v>
      </c>
      <c r="O12" s="8">
        <f>Table1345678910111213234[[#This Row],[Offloading Litres]]*Table1345678910111213234[[#This Row],[Rate]]</f>
        <v>27463.220100000002</v>
      </c>
      <c r="P12" s="9" t="s">
        <v>620</v>
      </c>
      <c r="Q12" t="s">
        <v>784</v>
      </c>
    </row>
    <row r="13" spans="1:20" x14ac:dyDescent="0.3">
      <c r="A13" s="7">
        <v>45720</v>
      </c>
      <c r="B13" s="7">
        <v>45357</v>
      </c>
      <c r="C13" t="s">
        <v>22</v>
      </c>
      <c r="D13" t="s">
        <v>26</v>
      </c>
      <c r="E13" t="s">
        <v>40</v>
      </c>
      <c r="F13">
        <v>423511109</v>
      </c>
      <c r="G13">
        <v>802379044</v>
      </c>
      <c r="H13">
        <v>39664</v>
      </c>
      <c r="I13">
        <v>39958</v>
      </c>
      <c r="J13">
        <f>Table1345678910111213234[[#This Row],[Offloading Litres]]-Table1345678910111213234[[#This Row],[LOADED LITRES]]</f>
        <v>294</v>
      </c>
      <c r="K13" t="s">
        <v>32</v>
      </c>
      <c r="L13">
        <v>75404972</v>
      </c>
      <c r="M13" t="s">
        <v>685</v>
      </c>
      <c r="N13">
        <v>0.75480000000000003</v>
      </c>
      <c r="O13" s="8">
        <f>Table1345678910111213234[[#This Row],[Offloading Litres]]*Table1345678910111213234[[#This Row],[Rate]]</f>
        <v>30160.2984</v>
      </c>
      <c r="P13" s="9" t="s">
        <v>635</v>
      </c>
      <c r="Q13" t="s">
        <v>788</v>
      </c>
    </row>
    <row r="14" spans="1:20" x14ac:dyDescent="0.3">
      <c r="A14" s="7">
        <v>45720</v>
      </c>
      <c r="B14" s="7">
        <v>45722</v>
      </c>
      <c r="C14" t="s">
        <v>30</v>
      </c>
      <c r="D14" t="s">
        <v>349</v>
      </c>
      <c r="E14" t="s">
        <v>40</v>
      </c>
      <c r="F14">
        <v>423667212</v>
      </c>
      <c r="G14">
        <v>802379131</v>
      </c>
      <c r="H14">
        <v>43814</v>
      </c>
      <c r="I14">
        <v>44146</v>
      </c>
      <c r="J14">
        <f>Table1345678910111213234[[#This Row],[Offloading Litres]]-Table1345678910111213234[[#This Row],[LOADED LITRES]]</f>
        <v>332</v>
      </c>
      <c r="K14" t="s">
        <v>25</v>
      </c>
      <c r="L14">
        <v>75405083</v>
      </c>
      <c r="M14" t="s">
        <v>686</v>
      </c>
      <c r="N14">
        <v>0.75480000000000003</v>
      </c>
      <c r="O14" s="8">
        <f>Table1345678910111213234[[#This Row],[Offloading Litres]]*Table1345678910111213234[[#This Row],[Rate]]</f>
        <v>33321.400800000003</v>
      </c>
      <c r="P14" s="9" t="s">
        <v>631</v>
      </c>
      <c r="Q14" t="s">
        <v>797</v>
      </c>
    </row>
    <row r="15" spans="1:20" x14ac:dyDescent="0.3">
      <c r="A15" s="7">
        <v>45720</v>
      </c>
      <c r="B15" s="7">
        <v>45722</v>
      </c>
      <c r="C15" t="s">
        <v>28</v>
      </c>
      <c r="D15" t="s">
        <v>624</v>
      </c>
      <c r="E15" t="s">
        <v>409</v>
      </c>
      <c r="F15">
        <v>423307889</v>
      </c>
      <c r="G15">
        <v>802379441</v>
      </c>
      <c r="H15">
        <v>43517</v>
      </c>
      <c r="I15">
        <v>43813</v>
      </c>
      <c r="J15">
        <f>Table1345678910111213234[[#This Row],[Offloading Litres]]-Table1345678910111213234[[#This Row],[LOADED LITRES]]</f>
        <v>296</v>
      </c>
      <c r="K15" t="s">
        <v>25</v>
      </c>
      <c r="L15">
        <v>75405216</v>
      </c>
      <c r="M15" t="s">
        <v>687</v>
      </c>
      <c r="N15">
        <v>0.70220000000000005</v>
      </c>
      <c r="O15" s="8">
        <f>Table1345678910111213234[[#This Row],[Offloading Litres]]*Table1345678910111213234[[#This Row],[Rate]]</f>
        <v>30765.488600000001</v>
      </c>
      <c r="P15" s="9" t="s">
        <v>634</v>
      </c>
      <c r="Q15" t="s">
        <v>790</v>
      </c>
    </row>
    <row r="16" spans="1:20" x14ac:dyDescent="0.3">
      <c r="A16" s="7">
        <v>45720</v>
      </c>
      <c r="B16" s="7">
        <v>45723</v>
      </c>
      <c r="C16" t="s">
        <v>17</v>
      </c>
      <c r="D16" t="s">
        <v>19</v>
      </c>
      <c r="E16" t="s">
        <v>40</v>
      </c>
      <c r="F16">
        <v>423667181</v>
      </c>
      <c r="G16">
        <v>802379176</v>
      </c>
      <c r="H16">
        <v>43809</v>
      </c>
      <c r="I16">
        <v>44248</v>
      </c>
      <c r="J16">
        <f>Table1345678910111213234[[#This Row],[Offloading Litres]]-Table1345678910111213234[[#This Row],[LOADED LITRES]]</f>
        <v>439</v>
      </c>
      <c r="K16" t="s">
        <v>25</v>
      </c>
      <c r="L16">
        <v>75405155</v>
      </c>
      <c r="M16" t="s">
        <v>688</v>
      </c>
      <c r="N16">
        <v>0.75480000000000003</v>
      </c>
      <c r="O16" s="8">
        <f>Table1345678910111213234[[#This Row],[Offloading Litres]]*Table1345678910111213234[[#This Row],[Rate]]</f>
        <v>33398.390400000004</v>
      </c>
      <c r="P16" s="9" t="s">
        <v>636</v>
      </c>
      <c r="Q16" t="s">
        <v>798</v>
      </c>
    </row>
    <row r="17" spans="1:20" x14ac:dyDescent="0.3">
      <c r="A17" s="7">
        <v>45723</v>
      </c>
      <c r="B17" s="7">
        <v>45725</v>
      </c>
      <c r="C17" t="s">
        <v>30</v>
      </c>
      <c r="D17" t="s">
        <v>349</v>
      </c>
      <c r="E17" t="s">
        <v>40</v>
      </c>
      <c r="F17">
        <v>423724684</v>
      </c>
      <c r="G17">
        <v>802389431</v>
      </c>
      <c r="H17">
        <v>43688</v>
      </c>
      <c r="I17">
        <v>44116</v>
      </c>
      <c r="J17">
        <f>Table1345678910111213234[[#This Row],[Offloading Litres]]-Table1345678910111213234[[#This Row],[LOADED LITRES]]</f>
        <v>428</v>
      </c>
      <c r="K17" t="s">
        <v>25</v>
      </c>
      <c r="L17">
        <v>75416820</v>
      </c>
      <c r="M17" t="s">
        <v>689</v>
      </c>
      <c r="N17">
        <v>0.75480000000000003</v>
      </c>
      <c r="O17" s="8">
        <f>Table1345678910111213234[[#This Row],[Offloading Litres]]*Table1345678910111213234[[#This Row],[Rate]]</f>
        <v>33298.756800000003</v>
      </c>
      <c r="P17" s="9" t="s">
        <v>637</v>
      </c>
      <c r="Q17" t="s">
        <v>787</v>
      </c>
    </row>
    <row r="18" spans="1:20" x14ac:dyDescent="0.3">
      <c r="A18" s="7">
        <v>45723</v>
      </c>
      <c r="B18" s="7">
        <v>45723</v>
      </c>
      <c r="C18" t="s">
        <v>28</v>
      </c>
      <c r="D18" t="s">
        <v>624</v>
      </c>
      <c r="E18" t="s">
        <v>437</v>
      </c>
      <c r="F18">
        <v>423817137</v>
      </c>
      <c r="G18">
        <v>802389762</v>
      </c>
      <c r="H18">
        <v>39708</v>
      </c>
      <c r="I18">
        <v>39930</v>
      </c>
      <c r="J18">
        <f>Table1345678910111213234[[#This Row],[Offloading Litres]]-Table1345678910111213234[[#This Row],[LOADED LITRES]]</f>
        <v>222</v>
      </c>
      <c r="K18" t="s">
        <v>32</v>
      </c>
      <c r="L18">
        <v>75417267</v>
      </c>
      <c r="M18" t="s">
        <v>690</v>
      </c>
      <c r="N18">
        <v>0.28899999999999998</v>
      </c>
      <c r="O18" s="8">
        <f>Table1345678910111213234[[#This Row],[Offloading Litres]]*Table1345678910111213234[[#This Row],[Rate]]</f>
        <v>11539.769999999999</v>
      </c>
      <c r="P18" s="9" t="s">
        <v>746</v>
      </c>
      <c r="Q18" t="s">
        <v>801</v>
      </c>
    </row>
    <row r="19" spans="1:20" x14ac:dyDescent="0.3">
      <c r="A19" s="7">
        <v>45723</v>
      </c>
      <c r="B19" s="7">
        <v>45726</v>
      </c>
      <c r="C19" t="s">
        <v>21</v>
      </c>
      <c r="D19" t="s">
        <v>27</v>
      </c>
      <c r="E19" t="s">
        <v>40</v>
      </c>
      <c r="F19">
        <v>423724697</v>
      </c>
      <c r="G19">
        <v>802391529</v>
      </c>
      <c r="H19">
        <v>44317</v>
      </c>
      <c r="I19">
        <v>44708</v>
      </c>
      <c r="J19">
        <f>Table1345678910111213234[[#This Row],[Offloading Litres]]-Table1345678910111213234[[#This Row],[LOADED LITRES]]</f>
        <v>391</v>
      </c>
      <c r="K19" t="s">
        <v>25</v>
      </c>
      <c r="L19">
        <v>75420086</v>
      </c>
      <c r="M19" t="s">
        <v>691</v>
      </c>
      <c r="N19">
        <v>0.75480000000000003</v>
      </c>
      <c r="O19" s="8">
        <f>Table1345678910111213234[[#This Row],[Offloading Litres]]*Table1345678910111213234[[#This Row],[Rate]]</f>
        <v>33745.598400000003</v>
      </c>
      <c r="P19" s="9" t="s">
        <v>639</v>
      </c>
      <c r="Q19" t="s">
        <v>811</v>
      </c>
    </row>
    <row r="20" spans="1:20" x14ac:dyDescent="0.3">
      <c r="A20" s="7">
        <v>45723</v>
      </c>
      <c r="B20" s="7">
        <v>45726</v>
      </c>
      <c r="C20" t="s">
        <v>22</v>
      </c>
      <c r="D20" t="s">
        <v>26</v>
      </c>
      <c r="E20" t="s">
        <v>40</v>
      </c>
      <c r="F20">
        <v>423724696</v>
      </c>
      <c r="G20">
        <v>802391880</v>
      </c>
      <c r="H20">
        <v>43846</v>
      </c>
      <c r="I20">
        <v>44104</v>
      </c>
      <c r="J20">
        <f>Table1345678910111213234[[#This Row],[Offloading Litres]]-Table1345678910111213234[[#This Row],[LOADED LITRES]]</f>
        <v>258</v>
      </c>
      <c r="K20" t="s">
        <v>25</v>
      </c>
      <c r="L20">
        <v>75420573</v>
      </c>
      <c r="M20" t="s">
        <v>692</v>
      </c>
      <c r="N20">
        <v>0.75480000000000003</v>
      </c>
      <c r="O20" s="8">
        <f>Table1345678910111213234[[#This Row],[Offloading Litres]]*Table1345678910111213234[[#This Row],[Rate]]</f>
        <v>33289.699200000003</v>
      </c>
      <c r="P20" s="9" t="s">
        <v>640</v>
      </c>
      <c r="Q20" t="s">
        <v>809</v>
      </c>
    </row>
    <row r="21" spans="1:20" x14ac:dyDescent="0.3">
      <c r="A21" s="7">
        <v>45723</v>
      </c>
      <c r="B21" s="7">
        <v>45725</v>
      </c>
      <c r="C21" t="s">
        <v>17</v>
      </c>
      <c r="D21" t="s">
        <v>19</v>
      </c>
      <c r="E21" t="s">
        <v>40</v>
      </c>
      <c r="F21">
        <v>423724695</v>
      </c>
      <c r="G21">
        <v>802391967</v>
      </c>
      <c r="H21">
        <v>43763</v>
      </c>
      <c r="I21">
        <v>44137</v>
      </c>
      <c r="J21">
        <f>Table1345678910111213234[[#This Row],[Offloading Litres]]-Table1345678910111213234[[#This Row],[LOADED LITRES]]</f>
        <v>374</v>
      </c>
      <c r="K21" t="s">
        <v>25</v>
      </c>
      <c r="L21">
        <v>75420648</v>
      </c>
      <c r="M21" t="s">
        <v>693</v>
      </c>
      <c r="N21">
        <v>0.75480000000000003</v>
      </c>
      <c r="O21" s="8">
        <f>Table1345678910111213234[[#This Row],[Offloading Litres]]*Table1345678910111213234[[#This Row],[Rate]]</f>
        <v>33314.607600000003</v>
      </c>
      <c r="P21" s="9" t="s">
        <v>638</v>
      </c>
      <c r="Q21" t="s">
        <v>795</v>
      </c>
    </row>
    <row r="22" spans="1:20" x14ac:dyDescent="0.3">
      <c r="A22" s="7">
        <v>45724</v>
      </c>
      <c r="B22" s="7">
        <v>45726</v>
      </c>
      <c r="C22" t="s">
        <v>34</v>
      </c>
      <c r="D22" t="s">
        <v>624</v>
      </c>
      <c r="E22" t="s">
        <v>40</v>
      </c>
      <c r="F22">
        <v>423724693</v>
      </c>
      <c r="G22">
        <v>802393322</v>
      </c>
      <c r="H22">
        <v>43925</v>
      </c>
      <c r="I22">
        <v>44331</v>
      </c>
      <c r="J22">
        <f>Table1345678910111213234[[#This Row],[Offloading Litres]]-Table1345678910111213234[[#This Row],[LOADED LITRES]]</f>
        <v>406</v>
      </c>
      <c r="K22" t="s">
        <v>25</v>
      </c>
      <c r="L22">
        <v>75422310</v>
      </c>
      <c r="M22" t="s">
        <v>674</v>
      </c>
      <c r="N22">
        <v>0.75480000000000003</v>
      </c>
      <c r="O22" s="8">
        <f>Table1345678910111213234[[#This Row],[Offloading Litres]]*Table1345678910111213234[[#This Row],[Rate]]</f>
        <v>33461.038800000002</v>
      </c>
      <c r="P22" s="9" t="s">
        <v>642</v>
      </c>
      <c r="Q22" t="s">
        <v>812</v>
      </c>
    </row>
    <row r="23" spans="1:20" x14ac:dyDescent="0.3">
      <c r="A23" s="7">
        <v>45724</v>
      </c>
      <c r="B23" s="7">
        <v>45726</v>
      </c>
      <c r="C23" t="s">
        <v>23</v>
      </c>
      <c r="D23" t="s">
        <v>287</v>
      </c>
      <c r="E23" t="s">
        <v>40</v>
      </c>
      <c r="F23" s="26">
        <v>423724694</v>
      </c>
      <c r="G23">
        <v>802392638</v>
      </c>
      <c r="H23">
        <v>43708</v>
      </c>
      <c r="I23">
        <v>44033</v>
      </c>
      <c r="J23">
        <f>Table1345678910111213234[[#This Row],[Offloading Litres]]-Table1345678910111213234[[#This Row],[LOADED LITRES]]</f>
        <v>325</v>
      </c>
      <c r="K23" t="s">
        <v>25</v>
      </c>
      <c r="L23">
        <v>75421440</v>
      </c>
      <c r="M23" t="s">
        <v>694</v>
      </c>
      <c r="N23">
        <v>0.75480000000000003</v>
      </c>
      <c r="O23" s="8">
        <f>Table1345678910111213234[[#This Row],[Offloading Litres]]*Table1345678910111213234[[#This Row],[Rate]]</f>
        <v>33236.108400000005</v>
      </c>
      <c r="P23" s="9" t="s">
        <v>641</v>
      </c>
      <c r="Q23" t="s">
        <v>810</v>
      </c>
    </row>
    <row r="24" spans="1:20" x14ac:dyDescent="0.3">
      <c r="A24" s="7">
        <v>45727</v>
      </c>
      <c r="B24" s="7">
        <v>45728</v>
      </c>
      <c r="C24" t="s">
        <v>34</v>
      </c>
      <c r="D24" t="s">
        <v>33</v>
      </c>
      <c r="E24" t="s">
        <v>628</v>
      </c>
      <c r="F24">
        <v>423897625</v>
      </c>
      <c r="G24">
        <v>802400031</v>
      </c>
      <c r="H24">
        <v>38663</v>
      </c>
      <c r="I24">
        <v>38787</v>
      </c>
      <c r="J24">
        <f>Table1345678910111213234[[#This Row],[Offloading Litres]]-Table1345678910111213234[[#This Row],[LOADED LITRES]]</f>
        <v>124</v>
      </c>
      <c r="K24" t="s">
        <v>32</v>
      </c>
      <c r="L24">
        <v>75428854</v>
      </c>
      <c r="M24" t="s">
        <v>695</v>
      </c>
      <c r="N24">
        <v>0.69269999999999998</v>
      </c>
      <c r="O24" s="8">
        <f>Table1345678910111213234[[#This Row],[Offloading Litres]]*Table1345678910111213234[[#This Row],[Rate]]</f>
        <v>26867.7549</v>
      </c>
      <c r="P24" s="9" t="s">
        <v>643</v>
      </c>
      <c r="Q24" t="s">
        <v>836</v>
      </c>
    </row>
    <row r="25" spans="1:20" x14ac:dyDescent="0.3">
      <c r="A25" s="7">
        <v>45727</v>
      </c>
      <c r="B25" s="7">
        <v>45729</v>
      </c>
      <c r="C25" t="s">
        <v>30</v>
      </c>
      <c r="D25" t="s">
        <v>349</v>
      </c>
      <c r="E25" t="s">
        <v>628</v>
      </c>
      <c r="F25">
        <v>423898180</v>
      </c>
      <c r="G25">
        <v>802402046</v>
      </c>
      <c r="H25">
        <v>38655</v>
      </c>
      <c r="I25">
        <v>38800</v>
      </c>
      <c r="J25">
        <f>Table1345678910111213234[[#This Row],[Offloading Litres]]-Table1345678910111213234[[#This Row],[LOADED LITRES]]</f>
        <v>145</v>
      </c>
      <c r="K25" t="s">
        <v>32</v>
      </c>
      <c r="L25">
        <v>75431018</v>
      </c>
      <c r="M25" t="s">
        <v>696</v>
      </c>
      <c r="N25">
        <v>0.69269999999999998</v>
      </c>
      <c r="O25" s="8">
        <f>Table1345678910111213234[[#This Row],[Offloading Litres]]*Table1345678910111213234[[#This Row],[Rate]]</f>
        <v>26876.76</v>
      </c>
      <c r="P25" s="9" t="s">
        <v>645</v>
      </c>
      <c r="Q25" t="s">
        <v>826</v>
      </c>
    </row>
    <row r="26" spans="1:20" x14ac:dyDescent="0.3">
      <c r="A26" s="7">
        <v>45728</v>
      </c>
      <c r="B26" s="7">
        <v>45729</v>
      </c>
      <c r="C26" t="s">
        <v>22</v>
      </c>
      <c r="D26" t="s">
        <v>26</v>
      </c>
      <c r="E26" t="s">
        <v>617</v>
      </c>
      <c r="F26">
        <v>423970866</v>
      </c>
      <c r="G26">
        <v>802408234</v>
      </c>
      <c r="H26">
        <v>39639</v>
      </c>
      <c r="I26">
        <v>39879</v>
      </c>
      <c r="J26">
        <f>Table1345678910111213234[[#This Row],[Offloading Litres]]-Table1345678910111213234[[#This Row],[LOADED LITRES]]</f>
        <v>240</v>
      </c>
      <c r="K26" t="s">
        <v>32</v>
      </c>
      <c r="L26">
        <v>75437755</v>
      </c>
      <c r="M26" t="s">
        <v>697</v>
      </c>
      <c r="N26">
        <v>0.69210000000000005</v>
      </c>
      <c r="O26" s="8">
        <f>Table1345678910111213234[[#This Row],[Offloading Litres]]*Table1345678910111213234[[#This Row],[Rate]]</f>
        <v>27600.255900000004</v>
      </c>
      <c r="P26" s="9" t="s">
        <v>646</v>
      </c>
      <c r="Q26" t="s">
        <v>813</v>
      </c>
    </row>
    <row r="27" spans="1:20" x14ac:dyDescent="0.3">
      <c r="A27" s="7">
        <v>45728</v>
      </c>
      <c r="B27" s="7">
        <v>45730</v>
      </c>
      <c r="C27" t="s">
        <v>28</v>
      </c>
      <c r="D27" t="s">
        <v>624</v>
      </c>
      <c r="E27" t="s">
        <v>617</v>
      </c>
      <c r="F27">
        <v>423970904</v>
      </c>
      <c r="G27">
        <v>802408399</v>
      </c>
      <c r="H27">
        <v>39624</v>
      </c>
      <c r="I27">
        <v>39742</v>
      </c>
      <c r="J27">
        <f>Table1345678910111213234[[#This Row],[Offloading Litres]]-Table1345678910111213234[[#This Row],[LOADED LITRES]]</f>
        <v>118</v>
      </c>
      <c r="K27" t="s">
        <v>32</v>
      </c>
      <c r="L27">
        <v>75437869</v>
      </c>
      <c r="M27" t="s">
        <v>698</v>
      </c>
      <c r="N27">
        <v>0.69210000000000005</v>
      </c>
      <c r="O27" s="8">
        <f>Table1345678910111213234[[#This Row],[Offloading Litres]]*Table1345678910111213234[[#This Row],[Rate]]</f>
        <v>27505.438200000001</v>
      </c>
      <c r="P27" s="9" t="s">
        <v>649</v>
      </c>
      <c r="Q27" t="s">
        <v>816</v>
      </c>
    </row>
    <row r="28" spans="1:20" x14ac:dyDescent="0.3">
      <c r="A28" s="7">
        <v>45728</v>
      </c>
      <c r="B28" s="25">
        <v>45729</v>
      </c>
      <c r="C28" t="s">
        <v>23</v>
      </c>
      <c r="D28" t="s">
        <v>287</v>
      </c>
      <c r="E28" t="s">
        <v>617</v>
      </c>
      <c r="F28">
        <v>423970876</v>
      </c>
      <c r="G28">
        <v>802408319</v>
      </c>
      <c r="H28">
        <v>38652</v>
      </c>
      <c r="I28">
        <v>38903</v>
      </c>
      <c r="J28">
        <f>Table1345678910111213234[[#This Row],[Offloading Litres]]-Table1345678910111213234[[#This Row],[LOADED LITRES]]</f>
        <v>251</v>
      </c>
      <c r="K28" t="s">
        <v>32</v>
      </c>
      <c r="L28">
        <v>75437861</v>
      </c>
      <c r="M28" t="s">
        <v>699</v>
      </c>
      <c r="N28">
        <v>0.69210000000000005</v>
      </c>
      <c r="O28" s="8">
        <f>Table1345678910111213234[[#This Row],[Offloading Litres]]*Table1345678910111213234[[#This Row],[Rate]]</f>
        <v>26924.766300000003</v>
      </c>
      <c r="P28" s="9" t="s">
        <v>647</v>
      </c>
      <c r="Q28" t="s">
        <v>814</v>
      </c>
    </row>
    <row r="29" spans="1:20" x14ac:dyDescent="0.3">
      <c r="A29" s="7">
        <v>45728</v>
      </c>
      <c r="B29" s="7">
        <v>45730</v>
      </c>
      <c r="C29" t="s">
        <v>21</v>
      </c>
      <c r="D29" t="s">
        <v>27</v>
      </c>
      <c r="E29" t="s">
        <v>617</v>
      </c>
      <c r="F29">
        <v>423970890</v>
      </c>
      <c r="G29">
        <v>802408042</v>
      </c>
      <c r="H29">
        <v>39167</v>
      </c>
      <c r="I29">
        <v>39528</v>
      </c>
      <c r="J29">
        <f>Table1345678910111213234[[#This Row],[Offloading Litres]]-Table1345678910111213234[[#This Row],[LOADED LITRES]]</f>
        <v>361</v>
      </c>
      <c r="K29" t="s">
        <v>32</v>
      </c>
      <c r="L29">
        <v>75436523</v>
      </c>
      <c r="M29" t="s">
        <v>700</v>
      </c>
      <c r="N29">
        <v>0.69210000000000005</v>
      </c>
      <c r="O29" s="8">
        <f>Table1345678910111213234[[#This Row],[Offloading Litres]]*Table1345678910111213234[[#This Row],[Rate]]</f>
        <v>27357.328800000003</v>
      </c>
      <c r="P29" s="9" t="s">
        <v>648</v>
      </c>
      <c r="Q29" t="s">
        <v>815</v>
      </c>
    </row>
    <row r="30" spans="1:20" x14ac:dyDescent="0.3">
      <c r="A30" s="7">
        <v>45729</v>
      </c>
      <c r="B30" s="7">
        <v>45730</v>
      </c>
      <c r="C30" t="s">
        <v>34</v>
      </c>
      <c r="D30" t="s">
        <v>33</v>
      </c>
      <c r="E30" t="s">
        <v>617</v>
      </c>
      <c r="F30">
        <v>423970936</v>
      </c>
      <c r="G30">
        <v>802409343</v>
      </c>
      <c r="H30">
        <v>38684</v>
      </c>
      <c r="I30">
        <v>38803</v>
      </c>
      <c r="J30">
        <f>Table1345678910111213234[[#This Row],[Offloading Litres]]-Table1345678910111213234[[#This Row],[LOADED LITRES]]</f>
        <v>119</v>
      </c>
      <c r="K30" t="s">
        <v>32</v>
      </c>
      <c r="L30">
        <v>75438799</v>
      </c>
      <c r="M30" t="s">
        <v>701</v>
      </c>
      <c r="N30">
        <v>0.69210000000000005</v>
      </c>
      <c r="O30" s="8">
        <f>Table1345678910111213234[[#This Row],[Offloading Litres]]*Table1345678910111213234[[#This Row],[Rate]]</f>
        <v>26855.5563</v>
      </c>
      <c r="P30" s="9" t="s">
        <v>651</v>
      </c>
      <c r="Q30" t="s">
        <v>808</v>
      </c>
    </row>
    <row r="31" spans="1:20" s="12" customFormat="1" x14ac:dyDescent="0.3">
      <c r="A31" s="7">
        <v>45730</v>
      </c>
      <c r="B31" s="7">
        <v>45731</v>
      </c>
      <c r="C31" t="s">
        <v>22</v>
      </c>
      <c r="D31" t="s">
        <v>26</v>
      </c>
      <c r="E31" t="s">
        <v>617</v>
      </c>
      <c r="F31">
        <v>423970950</v>
      </c>
      <c r="G31">
        <v>802416388</v>
      </c>
      <c r="H31">
        <v>39696</v>
      </c>
      <c r="I31">
        <v>39706</v>
      </c>
      <c r="J31">
        <f>Table1345678910111213234[[#This Row],[Offloading Litres]]-Table1345678910111213234[[#This Row],[LOADED LITRES]]</f>
        <v>10</v>
      </c>
      <c r="K31" t="s">
        <v>32</v>
      </c>
      <c r="L31">
        <v>75446726</v>
      </c>
      <c r="M31" t="s">
        <v>702</v>
      </c>
      <c r="N31">
        <v>0.69210000000000005</v>
      </c>
      <c r="O31" s="8">
        <f>Table1345678910111213234[[#This Row],[Offloading Litres]]*Table1345678910111213234[[#This Row],[Rate]]</f>
        <v>27480.5226</v>
      </c>
      <c r="P31" s="9" t="s">
        <v>652</v>
      </c>
      <c r="Q31" t="s">
        <v>818</v>
      </c>
      <c r="R31"/>
      <c r="S31"/>
      <c r="T31"/>
    </row>
    <row r="32" spans="1:20" x14ac:dyDescent="0.3">
      <c r="A32" s="7">
        <v>45730</v>
      </c>
      <c r="B32" s="7">
        <v>45733</v>
      </c>
      <c r="C32" t="s">
        <v>21</v>
      </c>
      <c r="D32" t="s">
        <v>619</v>
      </c>
      <c r="E32" t="s">
        <v>617</v>
      </c>
      <c r="F32">
        <v>423970973</v>
      </c>
      <c r="G32">
        <v>802417754</v>
      </c>
      <c r="H32">
        <v>39216</v>
      </c>
      <c r="I32">
        <v>39438</v>
      </c>
      <c r="J32">
        <f>Table1345678910111213234[[#This Row],[Offloading Litres]]-Table1345678910111213234[[#This Row],[LOADED LITRES]]</f>
        <v>222</v>
      </c>
      <c r="K32" t="s">
        <v>32</v>
      </c>
      <c r="L32">
        <v>75448292</v>
      </c>
      <c r="M32" t="s">
        <v>673</v>
      </c>
      <c r="N32">
        <v>0.69210000000000005</v>
      </c>
      <c r="O32" s="8">
        <f>Table1345678910111213234[[#This Row],[Offloading Litres]]*Table1345678910111213234[[#This Row],[Rate]]</f>
        <v>27295.039800000002</v>
      </c>
      <c r="P32" s="9" t="s">
        <v>653</v>
      </c>
      <c r="Q32" t="s">
        <v>820</v>
      </c>
    </row>
    <row r="33" spans="1:20" x14ac:dyDescent="0.3">
      <c r="A33" s="7">
        <v>45730</v>
      </c>
      <c r="B33" s="7">
        <v>45733</v>
      </c>
      <c r="C33" t="s">
        <v>28</v>
      </c>
      <c r="D33" t="s">
        <v>624</v>
      </c>
      <c r="E33" t="s">
        <v>617</v>
      </c>
      <c r="F33">
        <v>423971007</v>
      </c>
      <c r="G33">
        <v>802417800</v>
      </c>
      <c r="H33">
        <v>39508</v>
      </c>
      <c r="I33">
        <v>39563</v>
      </c>
      <c r="J33">
        <f>Table1345678910111213234[[#This Row],[Offloading Litres]]-Table1345678910111213234[[#This Row],[LOADED LITRES]]</f>
        <v>55</v>
      </c>
      <c r="K33" t="s">
        <v>32</v>
      </c>
      <c r="L33">
        <v>75448352</v>
      </c>
      <c r="M33" t="s">
        <v>703</v>
      </c>
      <c r="N33">
        <v>0.69210000000000005</v>
      </c>
      <c r="O33" s="8">
        <f>Table1345678910111213234[[#This Row],[Offloading Litres]]*Table1345678910111213234[[#This Row],[Rate]]</f>
        <v>27381.552300000003</v>
      </c>
      <c r="P33" s="9" t="s">
        <v>658</v>
      </c>
      <c r="Q33" t="s">
        <v>829</v>
      </c>
    </row>
    <row r="34" spans="1:20" s="12" customFormat="1" x14ac:dyDescent="0.3">
      <c r="A34" s="7">
        <v>45731</v>
      </c>
      <c r="B34" s="7">
        <v>45733</v>
      </c>
      <c r="C34" t="s">
        <v>34</v>
      </c>
      <c r="D34" t="s">
        <v>33</v>
      </c>
      <c r="E34" t="s">
        <v>617</v>
      </c>
      <c r="F34">
        <v>423971031</v>
      </c>
      <c r="G34">
        <v>802418390</v>
      </c>
      <c r="H34">
        <v>38733</v>
      </c>
      <c r="I34">
        <v>38748</v>
      </c>
      <c r="J34">
        <f>Table1345678910111213234[[#This Row],[Offloading Litres]]-Table1345678910111213234[[#This Row],[LOADED LITRES]]</f>
        <v>15</v>
      </c>
      <c r="K34" t="s">
        <v>32</v>
      </c>
      <c r="L34">
        <v>75449240</v>
      </c>
      <c r="M34" t="s">
        <v>704</v>
      </c>
      <c r="N34">
        <v>0.69499999999999995</v>
      </c>
      <c r="O34" s="8">
        <f>Table1345678910111213234[[#This Row],[Offloading Litres]]*Table1345678910111213234[[#This Row],[Rate]]</f>
        <v>26929.859999999997</v>
      </c>
      <c r="P34" s="9" t="s">
        <v>656</v>
      </c>
      <c r="Q34" t="s">
        <v>830</v>
      </c>
      <c r="R34"/>
      <c r="S34"/>
      <c r="T34"/>
    </row>
    <row r="35" spans="1:20" x14ac:dyDescent="0.3">
      <c r="A35" s="7">
        <v>45732</v>
      </c>
      <c r="B35" s="7">
        <v>45733</v>
      </c>
      <c r="C35" t="s">
        <v>22</v>
      </c>
      <c r="D35" t="s">
        <v>26</v>
      </c>
      <c r="E35" t="s">
        <v>617</v>
      </c>
      <c r="F35">
        <v>423971039</v>
      </c>
      <c r="G35">
        <v>802420202</v>
      </c>
      <c r="H35">
        <v>39771</v>
      </c>
      <c r="I35">
        <v>39764</v>
      </c>
      <c r="J35">
        <f>Table1345678910111213234[[#This Row],[Offloading Litres]]-Table1345678910111213234[[#This Row],[LOADED LITRES]]</f>
        <v>-7</v>
      </c>
      <c r="K35" t="s">
        <v>32</v>
      </c>
      <c r="L35">
        <v>75451248</v>
      </c>
      <c r="M35" t="s">
        <v>705</v>
      </c>
      <c r="N35">
        <v>0.69499999999999995</v>
      </c>
      <c r="O35" s="8">
        <f>Table1345678910111213234[[#This Row],[Offloading Litres]]*Table1345678910111213234[[#This Row],[Rate]]</f>
        <v>27635.98</v>
      </c>
      <c r="P35" s="9" t="s">
        <v>659</v>
      </c>
      <c r="Q35" t="s">
        <v>831</v>
      </c>
    </row>
    <row r="36" spans="1:20" x14ac:dyDescent="0.3">
      <c r="A36" s="7">
        <v>45733</v>
      </c>
      <c r="B36" s="7">
        <v>45734</v>
      </c>
      <c r="C36" t="s">
        <v>21</v>
      </c>
      <c r="D36" t="s">
        <v>27</v>
      </c>
      <c r="E36" t="s">
        <v>617</v>
      </c>
      <c r="F36">
        <v>423971741</v>
      </c>
      <c r="G36">
        <v>802425610</v>
      </c>
      <c r="H36">
        <v>39168</v>
      </c>
      <c r="I36">
        <v>39574</v>
      </c>
      <c r="J36">
        <f>Table1345678910111213234[[#This Row],[Offloading Litres]]-Table1345678910111213234[[#This Row],[LOADED LITRES]]</f>
        <v>406</v>
      </c>
      <c r="K36" t="s">
        <v>32</v>
      </c>
      <c r="L36">
        <v>75456423</v>
      </c>
      <c r="M36" t="s">
        <v>706</v>
      </c>
      <c r="N36">
        <v>0.69499999999999995</v>
      </c>
      <c r="O36" s="8">
        <f>Table1345678910111213234[[#This Row],[Offloading Litres]]*Table1345678910111213234[[#This Row],[Rate]]</f>
        <v>27503.929999999997</v>
      </c>
      <c r="P36" s="9" t="s">
        <v>660</v>
      </c>
      <c r="Q36" t="s">
        <v>832</v>
      </c>
    </row>
    <row r="37" spans="1:20" x14ac:dyDescent="0.3">
      <c r="A37" s="7">
        <v>45734</v>
      </c>
      <c r="B37" s="7">
        <v>45735</v>
      </c>
      <c r="C37" t="s">
        <v>34</v>
      </c>
      <c r="D37" t="s">
        <v>624</v>
      </c>
      <c r="E37" t="s">
        <v>617</v>
      </c>
      <c r="F37">
        <v>423971250</v>
      </c>
      <c r="G37">
        <v>802426418</v>
      </c>
      <c r="H37">
        <v>38718</v>
      </c>
      <c r="I37">
        <v>38750</v>
      </c>
      <c r="J37">
        <f>Table1345678910111213234[[#This Row],[Offloading Litres]]-Table1345678910111213234[[#This Row],[LOADED LITRES]]</f>
        <v>32</v>
      </c>
      <c r="K37" t="s">
        <v>32</v>
      </c>
      <c r="L37">
        <v>75457278</v>
      </c>
      <c r="M37" t="s">
        <v>707</v>
      </c>
      <c r="N37">
        <v>0.69499999999999995</v>
      </c>
      <c r="O37" s="8">
        <f>Table1345678910111213234[[#This Row],[Offloading Litres]]*Table1345678910111213234[[#This Row],[Rate]]</f>
        <v>26931.249999999996</v>
      </c>
      <c r="P37" s="9" t="s">
        <v>662</v>
      </c>
      <c r="Q37" t="s">
        <v>834</v>
      </c>
    </row>
    <row r="38" spans="1:20" x14ac:dyDescent="0.3">
      <c r="A38" s="7">
        <v>45734</v>
      </c>
      <c r="B38" s="7">
        <v>45736</v>
      </c>
      <c r="C38" t="s">
        <v>22</v>
      </c>
      <c r="D38" t="s">
        <v>26</v>
      </c>
      <c r="E38" t="s">
        <v>628</v>
      </c>
      <c r="F38">
        <v>424043766</v>
      </c>
      <c r="G38">
        <v>802426104</v>
      </c>
      <c r="H38">
        <v>43964</v>
      </c>
      <c r="I38">
        <v>44078</v>
      </c>
      <c r="J38">
        <f>Table1345678910111213234[[#This Row],[Offloading Litres]]-Table1345678910111213234[[#This Row],[LOADED LITRES]]</f>
        <v>114</v>
      </c>
      <c r="K38" t="s">
        <v>32</v>
      </c>
      <c r="L38">
        <v>75456982</v>
      </c>
      <c r="M38" t="s">
        <v>708</v>
      </c>
      <c r="N38">
        <v>0.6956</v>
      </c>
      <c r="O38" s="8">
        <f>Table1345678910111213234[[#This Row],[Offloading Litres]]*Table1345678910111213234[[#This Row],[Rate]]</f>
        <v>30660.656800000001</v>
      </c>
      <c r="P38" s="9" t="s">
        <v>665</v>
      </c>
      <c r="Q38" t="s">
        <v>821</v>
      </c>
    </row>
    <row r="39" spans="1:20" x14ac:dyDescent="0.3">
      <c r="A39" s="7">
        <v>45734</v>
      </c>
      <c r="B39" s="7">
        <v>45735</v>
      </c>
      <c r="C39" t="s">
        <v>28</v>
      </c>
      <c r="D39" t="s">
        <v>33</v>
      </c>
      <c r="E39" t="s">
        <v>617</v>
      </c>
      <c r="F39">
        <v>423971258</v>
      </c>
      <c r="G39">
        <v>802427409</v>
      </c>
      <c r="H39">
        <v>39464</v>
      </c>
      <c r="I39">
        <v>39547</v>
      </c>
      <c r="J39">
        <f>Table1345678910111213234[[#This Row],[Offloading Litres]]-Table1345678910111213234[[#This Row],[LOADED LITRES]]</f>
        <v>83</v>
      </c>
      <c r="K39" t="s">
        <v>32</v>
      </c>
      <c r="L39">
        <v>75458266</v>
      </c>
      <c r="M39" t="s">
        <v>709</v>
      </c>
      <c r="N39">
        <v>0.69499999999999995</v>
      </c>
      <c r="O39" s="8">
        <f>Table1345678910111213234[[#This Row],[Offloading Litres]]*Table1345678910111213234[[#This Row],[Rate]]</f>
        <v>27485.164999999997</v>
      </c>
      <c r="P39" s="9" t="s">
        <v>664</v>
      </c>
      <c r="Q39" t="s">
        <v>837</v>
      </c>
    </row>
    <row r="40" spans="1:20" x14ac:dyDescent="0.3">
      <c r="A40" s="7">
        <v>45734</v>
      </c>
      <c r="B40" s="7">
        <v>45735</v>
      </c>
      <c r="C40" t="s">
        <v>23</v>
      </c>
      <c r="D40" t="s">
        <v>286</v>
      </c>
      <c r="E40" t="s">
        <v>617</v>
      </c>
      <c r="F40">
        <v>423971202</v>
      </c>
      <c r="G40">
        <v>802427436</v>
      </c>
      <c r="H40">
        <v>38655</v>
      </c>
      <c r="I40">
        <v>38693</v>
      </c>
      <c r="J40">
        <f>Table1345678910111213234[[#This Row],[Offloading Litres]]-Table1345678910111213234[[#This Row],[LOADED LITRES]]</f>
        <v>38</v>
      </c>
      <c r="K40" t="s">
        <v>32</v>
      </c>
      <c r="L40">
        <v>75458304</v>
      </c>
      <c r="M40" t="s">
        <v>710</v>
      </c>
      <c r="N40">
        <v>0.69499999999999995</v>
      </c>
      <c r="O40" s="8">
        <f>Table1345678910111213234[[#This Row],[Offloading Litres]]*Table1345678910111213234[[#This Row],[Rate]]</f>
        <v>26891.634999999998</v>
      </c>
      <c r="P40" s="9" t="s">
        <v>663</v>
      </c>
      <c r="Q40" t="s">
        <v>835</v>
      </c>
    </row>
    <row r="41" spans="1:20" x14ac:dyDescent="0.3">
      <c r="A41" s="7">
        <v>45735</v>
      </c>
      <c r="B41" s="7">
        <v>45736</v>
      </c>
      <c r="C41" t="s">
        <v>21</v>
      </c>
      <c r="D41" t="s">
        <v>619</v>
      </c>
      <c r="E41" t="s">
        <v>628</v>
      </c>
      <c r="F41">
        <v>424043818</v>
      </c>
      <c r="G41">
        <v>802434911</v>
      </c>
      <c r="H41">
        <v>44418</v>
      </c>
      <c r="I41">
        <v>44833</v>
      </c>
      <c r="J41">
        <f>Table1345678910111213234[[#This Row],[Offloading Litres]]-Table1345678910111213234[[#This Row],[LOADED LITRES]]</f>
        <v>415</v>
      </c>
      <c r="K41" t="s">
        <v>32</v>
      </c>
      <c r="L41">
        <v>75466133</v>
      </c>
      <c r="M41" t="s">
        <v>711</v>
      </c>
      <c r="N41">
        <v>0.6956</v>
      </c>
      <c r="O41" s="8">
        <f>Table1345678910111213234[[#This Row],[Offloading Litres]]*Table1345678910111213234[[#This Row],[Rate]]</f>
        <v>31185.834800000001</v>
      </c>
      <c r="P41" s="9" t="s">
        <v>666</v>
      </c>
      <c r="Q41" t="s">
        <v>822</v>
      </c>
    </row>
    <row r="42" spans="1:20" x14ac:dyDescent="0.3">
      <c r="A42" s="7">
        <v>45720</v>
      </c>
      <c r="B42" s="7">
        <v>45357</v>
      </c>
      <c r="C42" t="s">
        <v>29</v>
      </c>
      <c r="D42" t="s">
        <v>619</v>
      </c>
      <c r="E42" t="s">
        <v>40</v>
      </c>
      <c r="F42">
        <v>423667176</v>
      </c>
      <c r="G42">
        <v>802378862</v>
      </c>
      <c r="H42">
        <v>43858</v>
      </c>
      <c r="I42">
        <v>44175</v>
      </c>
      <c r="J42">
        <f>Table1345678910111213234[[#This Row],[Offloading Litres]]-Table1345678910111213234[[#This Row],[LOADED LITRES]]</f>
        <v>317</v>
      </c>
      <c r="K42" t="s">
        <v>25</v>
      </c>
      <c r="L42">
        <v>75404891</v>
      </c>
      <c r="M42" t="s">
        <v>684</v>
      </c>
      <c r="N42">
        <v>0.75480000000000003</v>
      </c>
      <c r="O42" s="8">
        <f>Table1345678910111213234[[#This Row],[Offloading Litres]]*Table1345678910111213234[[#This Row],[Rate]]</f>
        <v>33343.29</v>
      </c>
      <c r="P42" s="9" t="s">
        <v>630</v>
      </c>
      <c r="Q42" t="s">
        <v>799</v>
      </c>
    </row>
    <row r="43" spans="1:20" s="12" customFormat="1" x14ac:dyDescent="0.3">
      <c r="A43" s="7">
        <v>45736</v>
      </c>
      <c r="B43" s="7">
        <v>45736</v>
      </c>
      <c r="C43" t="s">
        <v>23</v>
      </c>
      <c r="D43" t="s">
        <v>286</v>
      </c>
      <c r="E43" t="s">
        <v>617</v>
      </c>
      <c r="F43">
        <v>423971276</v>
      </c>
      <c r="G43">
        <v>802435165</v>
      </c>
      <c r="H43">
        <v>38697</v>
      </c>
      <c r="I43">
        <v>38860</v>
      </c>
      <c r="J43">
        <f>Table1345678910111213234[[#This Row],[Offloading Litres]]-Table1345678910111213234[[#This Row],[LOADED LITRES]]</f>
        <v>163</v>
      </c>
      <c r="K43" t="s">
        <v>32</v>
      </c>
      <c r="L43">
        <v>75406427</v>
      </c>
      <c r="M43" t="s">
        <v>713</v>
      </c>
      <c r="N43">
        <v>0.69499999999999995</v>
      </c>
      <c r="O43" s="8">
        <f>Table1345678910111213234[[#This Row],[Offloading Litres]]*Table1345678910111213234[[#This Row],[Rate]]</f>
        <v>27007.699999999997</v>
      </c>
      <c r="P43" s="9" t="s">
        <v>667</v>
      </c>
      <c r="Q43" t="s">
        <v>817</v>
      </c>
      <c r="R43"/>
      <c r="S43"/>
      <c r="T43"/>
    </row>
    <row r="44" spans="1:20" x14ac:dyDescent="0.3">
      <c r="A44" s="7">
        <v>45736</v>
      </c>
      <c r="B44" s="7">
        <v>45736</v>
      </c>
      <c r="C44" t="s">
        <v>34</v>
      </c>
      <c r="D44" t="s">
        <v>624</v>
      </c>
      <c r="E44" t="s">
        <v>617</v>
      </c>
      <c r="F44">
        <v>423971302</v>
      </c>
      <c r="G44">
        <v>802435173</v>
      </c>
      <c r="H44">
        <v>38701</v>
      </c>
      <c r="I44">
        <v>38881</v>
      </c>
      <c r="J44">
        <f>Table1345678910111213234[[#This Row],[Offloading Litres]]-Table1345678910111213234[[#This Row],[LOADED LITRES]]</f>
        <v>180</v>
      </c>
      <c r="K44" t="s">
        <v>32</v>
      </c>
      <c r="L44">
        <v>75466435</v>
      </c>
      <c r="M44" t="s">
        <v>714</v>
      </c>
      <c r="N44">
        <v>0.69499999999999995</v>
      </c>
      <c r="O44" s="8">
        <f>Table1345678910111213234[[#This Row],[Offloading Litres]]*Table1345678910111213234[[#This Row],[Rate]]</f>
        <v>27022.294999999998</v>
      </c>
      <c r="P44" s="9" t="s">
        <v>668</v>
      </c>
      <c r="Q44" t="s">
        <v>825</v>
      </c>
    </row>
    <row r="45" spans="1:20" x14ac:dyDescent="0.3">
      <c r="A45" s="7">
        <v>45736</v>
      </c>
      <c r="B45" s="7">
        <v>45736</v>
      </c>
      <c r="C45" t="s">
        <v>17</v>
      </c>
      <c r="D45" t="s">
        <v>349</v>
      </c>
      <c r="E45" t="s">
        <v>617</v>
      </c>
      <c r="F45">
        <v>423971269</v>
      </c>
      <c r="G45">
        <v>802435185</v>
      </c>
      <c r="H45">
        <v>38700</v>
      </c>
      <c r="I45">
        <v>38901</v>
      </c>
      <c r="J45">
        <f>Table1345678910111213234[[#This Row],[Offloading Litres]]-Table1345678910111213234[[#This Row],[LOADED LITRES]]</f>
        <v>201</v>
      </c>
      <c r="K45" t="s">
        <v>32</v>
      </c>
      <c r="L45">
        <v>75466449</v>
      </c>
      <c r="M45" t="s">
        <v>715</v>
      </c>
      <c r="N45">
        <v>0.69499999999999995</v>
      </c>
      <c r="O45" s="8">
        <f>Table1345678910111213234[[#This Row],[Offloading Litres]]*Table1345678910111213234[[#This Row],[Rate]]</f>
        <v>27036.195</v>
      </c>
      <c r="P45" s="9" t="s">
        <v>670</v>
      </c>
      <c r="Q45" t="s">
        <v>823</v>
      </c>
    </row>
    <row r="46" spans="1:20" x14ac:dyDescent="0.3">
      <c r="A46" s="7">
        <v>45736</v>
      </c>
      <c r="B46" s="7">
        <v>45736</v>
      </c>
      <c r="C46" t="s">
        <v>28</v>
      </c>
      <c r="D46" t="s">
        <v>33</v>
      </c>
      <c r="E46" t="s">
        <v>617</v>
      </c>
      <c r="F46">
        <v>423971307</v>
      </c>
      <c r="G46">
        <v>802435186</v>
      </c>
      <c r="H46">
        <v>39490</v>
      </c>
      <c r="I46">
        <v>39702</v>
      </c>
      <c r="J46">
        <f>Table1345678910111213234[[#This Row],[Offloading Litres]]-Table1345678910111213234[[#This Row],[LOADED LITRES]]</f>
        <v>212</v>
      </c>
      <c r="K46" t="s">
        <v>32</v>
      </c>
      <c r="L46">
        <v>75466451</v>
      </c>
      <c r="M46" t="s">
        <v>752</v>
      </c>
      <c r="N46">
        <v>0.69499999999999995</v>
      </c>
      <c r="O46" s="8">
        <f>Table1345678910111213234[[#This Row],[Offloading Litres]]*Table1345678910111213234[[#This Row],[Rate]]</f>
        <v>27592.89</v>
      </c>
      <c r="P46" s="9" t="s">
        <v>671</v>
      </c>
      <c r="Q46" t="s">
        <v>838</v>
      </c>
    </row>
    <row r="47" spans="1:20" x14ac:dyDescent="0.3">
      <c r="A47" s="7">
        <v>45729</v>
      </c>
      <c r="B47" s="7">
        <v>45730</v>
      </c>
      <c r="C47" t="s">
        <v>29</v>
      </c>
      <c r="D47" t="s">
        <v>644</v>
      </c>
      <c r="E47" t="s">
        <v>617</v>
      </c>
      <c r="F47">
        <v>423970896</v>
      </c>
      <c r="G47">
        <v>802409359</v>
      </c>
      <c r="H47">
        <v>39463</v>
      </c>
      <c r="I47">
        <v>39557</v>
      </c>
      <c r="J47">
        <f>Table1345678910111213234[[#This Row],[Offloading Litres]]-Table1345678910111213234[[#This Row],[LOADED LITRES]]</f>
        <v>94</v>
      </c>
      <c r="K47" t="s">
        <v>32</v>
      </c>
      <c r="L47">
        <v>75438825</v>
      </c>
      <c r="M47" t="s">
        <v>748</v>
      </c>
      <c r="N47">
        <v>0.69210000000000005</v>
      </c>
      <c r="O47" s="8">
        <f>Table1345678910111213234[[#This Row],[Offloading Litres]]*Table1345678910111213234[[#This Row],[Rate]]</f>
        <v>27377.399700000002</v>
      </c>
      <c r="P47" s="9" t="s">
        <v>650</v>
      </c>
      <c r="Q47" t="s">
        <v>807</v>
      </c>
    </row>
    <row r="48" spans="1:20" x14ac:dyDescent="0.3">
      <c r="A48" s="7">
        <v>45730</v>
      </c>
      <c r="B48" s="7">
        <v>45733</v>
      </c>
      <c r="C48" t="s">
        <v>29</v>
      </c>
      <c r="D48" t="s">
        <v>644</v>
      </c>
      <c r="E48" t="s">
        <v>617</v>
      </c>
      <c r="F48">
        <v>423970695</v>
      </c>
      <c r="G48">
        <v>802417811</v>
      </c>
      <c r="H48">
        <v>39503</v>
      </c>
      <c r="I48">
        <v>39513</v>
      </c>
      <c r="J48">
        <f>Table1345678910111213234[[#This Row],[Offloading Litres]]-Table1345678910111213234[[#This Row],[LOADED LITRES]]</f>
        <v>10</v>
      </c>
      <c r="K48" t="s">
        <v>32</v>
      </c>
      <c r="L48">
        <v>75448360</v>
      </c>
      <c r="M48" t="s">
        <v>750</v>
      </c>
      <c r="N48">
        <v>0.69210000000000005</v>
      </c>
      <c r="O48" s="8">
        <f>Table1345678910111213234[[#This Row],[Offloading Litres]]*Table1345678910111213234[[#This Row],[Rate]]</f>
        <v>27346.947300000003</v>
      </c>
      <c r="P48" s="9" t="s">
        <v>654</v>
      </c>
      <c r="Q48" t="s">
        <v>827</v>
      </c>
    </row>
    <row r="49" spans="1:17" x14ac:dyDescent="0.3">
      <c r="A49" s="7">
        <v>45730</v>
      </c>
      <c r="B49" s="7">
        <v>45733</v>
      </c>
      <c r="C49" t="s">
        <v>23</v>
      </c>
      <c r="D49" t="s">
        <v>286</v>
      </c>
      <c r="E49" t="s">
        <v>617</v>
      </c>
      <c r="F49">
        <v>423970961</v>
      </c>
      <c r="G49">
        <v>802417570</v>
      </c>
      <c r="H49">
        <v>38708</v>
      </c>
      <c r="I49">
        <v>38722</v>
      </c>
      <c r="J49">
        <f>Table1345678910111213234[[#This Row],[Offloading Litres]]-Table1345678910111213234[[#This Row],[LOADED LITRES]]</f>
        <v>14</v>
      </c>
      <c r="K49" t="s">
        <v>32</v>
      </c>
      <c r="L49">
        <v>75448083</v>
      </c>
      <c r="M49" t="s">
        <v>749</v>
      </c>
      <c r="N49">
        <v>0.69210000000000005</v>
      </c>
      <c r="O49" s="8">
        <f>Table1345678910111213234[[#This Row],[Offloading Litres]]*Table1345678910111213234[[#This Row],[Rate]]</f>
        <v>26799.496200000001</v>
      </c>
      <c r="P49" s="9" t="s">
        <v>655</v>
      </c>
      <c r="Q49" t="s">
        <v>819</v>
      </c>
    </row>
    <row r="50" spans="1:17" x14ac:dyDescent="0.3">
      <c r="A50" s="7">
        <v>45734</v>
      </c>
      <c r="B50" s="7">
        <v>45735</v>
      </c>
      <c r="C50" t="s">
        <v>29</v>
      </c>
      <c r="D50" t="s">
        <v>644</v>
      </c>
      <c r="E50" t="s">
        <v>617</v>
      </c>
      <c r="F50">
        <v>423971217</v>
      </c>
      <c r="G50">
        <v>802426610</v>
      </c>
      <c r="H50">
        <v>39501</v>
      </c>
      <c r="I50">
        <v>39541</v>
      </c>
      <c r="J50">
        <f>Table1345678910111213234[[#This Row],[Offloading Litres]]-Table1345678910111213234[[#This Row],[LOADED LITRES]]</f>
        <v>40</v>
      </c>
      <c r="K50" t="s">
        <v>32</v>
      </c>
      <c r="L50">
        <v>75457513</v>
      </c>
      <c r="M50" t="s">
        <v>751</v>
      </c>
      <c r="N50">
        <v>0.69499999999999995</v>
      </c>
      <c r="O50" s="8">
        <f>Table1345678910111213234[[#This Row],[Offloading Litres]]*Table1345678910111213234[[#This Row],[Rate]]</f>
        <v>27480.994999999999</v>
      </c>
      <c r="P50" s="9" t="s">
        <v>661</v>
      </c>
      <c r="Q50" t="s">
        <v>833</v>
      </c>
    </row>
    <row r="51" spans="1:17" x14ac:dyDescent="0.3">
      <c r="A51" s="7">
        <v>45735</v>
      </c>
      <c r="B51" s="7">
        <v>45736</v>
      </c>
      <c r="C51" t="s">
        <v>29</v>
      </c>
      <c r="D51" t="s">
        <v>644</v>
      </c>
      <c r="E51" t="s">
        <v>617</v>
      </c>
      <c r="F51">
        <v>423971291</v>
      </c>
      <c r="G51">
        <v>802435147</v>
      </c>
      <c r="H51">
        <v>39490</v>
      </c>
      <c r="I51">
        <v>39711</v>
      </c>
      <c r="J51">
        <f>Table1345678910111213234[[#This Row],[Offloading Litres]]-Table1345678910111213234[[#This Row],[LOADED LITRES]]</f>
        <v>221</v>
      </c>
      <c r="K51" t="s">
        <v>32</v>
      </c>
      <c r="L51">
        <v>75466410</v>
      </c>
      <c r="M51" t="s">
        <v>712</v>
      </c>
      <c r="N51">
        <v>0.69499999999999995</v>
      </c>
      <c r="O51" s="8">
        <f>Table1345678910111213234[[#This Row],[Offloading Litres]]*Table1345678910111213234[[#This Row],[Rate]]</f>
        <v>27599.144999999997</v>
      </c>
      <c r="P51" s="9" t="s">
        <v>669</v>
      </c>
      <c r="Q51" t="s">
        <v>824</v>
      </c>
    </row>
    <row r="52" spans="1:17" x14ac:dyDescent="0.3">
      <c r="A52" s="7">
        <v>45737</v>
      </c>
      <c r="B52" s="7">
        <v>45739</v>
      </c>
      <c r="C52" t="s">
        <v>29</v>
      </c>
      <c r="D52" t="s">
        <v>644</v>
      </c>
      <c r="E52" t="s">
        <v>617</v>
      </c>
      <c r="F52">
        <v>424241106</v>
      </c>
      <c r="G52">
        <v>802443070</v>
      </c>
      <c r="H52">
        <v>39481</v>
      </c>
      <c r="I52">
        <v>39725</v>
      </c>
      <c r="J52">
        <f>Table1345678910111213234[[#This Row],[Offloading Litres]]-Table1345678910111213234[[#This Row],[LOADED LITRES]]</f>
        <v>244</v>
      </c>
      <c r="K52" t="s">
        <v>32</v>
      </c>
      <c r="L52">
        <v>75475697</v>
      </c>
      <c r="M52" t="s">
        <v>755</v>
      </c>
      <c r="N52">
        <v>0.69499999999999995</v>
      </c>
      <c r="O52" s="8">
        <f>Table1345678910111213234[[#This Row],[Offloading Litres]]*Table1345678910111213234[[#This Row],[Rate]]</f>
        <v>27608.874999999996</v>
      </c>
      <c r="P52" s="9" t="s">
        <v>718</v>
      </c>
      <c r="Q52" t="s">
        <v>843</v>
      </c>
    </row>
    <row r="53" spans="1:17" x14ac:dyDescent="0.3">
      <c r="A53" s="7">
        <v>45737</v>
      </c>
      <c r="B53" s="7">
        <v>45738</v>
      </c>
      <c r="C53" t="s">
        <v>22</v>
      </c>
      <c r="D53" t="s">
        <v>26</v>
      </c>
      <c r="E53" t="s">
        <v>617</v>
      </c>
      <c r="F53">
        <v>424241113</v>
      </c>
      <c r="G53">
        <v>802443112</v>
      </c>
      <c r="H53">
        <v>39676</v>
      </c>
      <c r="I53">
        <v>39931</v>
      </c>
      <c r="J53">
        <f>Table1345678910111213234[[#This Row],[Offloading Litres]]-Table1345678910111213234[[#This Row],[LOADED LITRES]]</f>
        <v>255</v>
      </c>
      <c r="K53" t="s">
        <v>32</v>
      </c>
      <c r="L53">
        <v>75475773</v>
      </c>
      <c r="M53" t="s">
        <v>753</v>
      </c>
      <c r="N53">
        <v>0.69499999999999995</v>
      </c>
      <c r="O53" s="8">
        <f>Table1345678910111213234[[#This Row],[Offloading Litres]]*Table1345678910111213234[[#This Row],[Rate]]</f>
        <v>27752.044999999998</v>
      </c>
      <c r="P53" s="9" t="s">
        <v>840</v>
      </c>
      <c r="Q53" t="s">
        <v>841</v>
      </c>
    </row>
    <row r="54" spans="1:17" s="28" customFormat="1" x14ac:dyDescent="0.3">
      <c r="A54" s="27">
        <v>45737</v>
      </c>
      <c r="B54" s="27">
        <v>45739</v>
      </c>
      <c r="C54" s="28" t="s">
        <v>17</v>
      </c>
      <c r="D54" s="28" t="s">
        <v>349</v>
      </c>
      <c r="E54" s="28" t="s">
        <v>617</v>
      </c>
      <c r="F54" s="28">
        <v>424241127</v>
      </c>
      <c r="G54" s="28">
        <v>802443146</v>
      </c>
      <c r="H54" s="28">
        <v>38685</v>
      </c>
      <c r="I54" s="28">
        <v>38870</v>
      </c>
      <c r="J54" s="28">
        <f>Table1345678910111213234[[#This Row],[Offloading Litres]]-Table1345678910111213234[[#This Row],[LOADED LITRES]]</f>
        <v>185</v>
      </c>
      <c r="K54" s="28" t="s">
        <v>32</v>
      </c>
      <c r="L54" s="28">
        <v>75475830</v>
      </c>
      <c r="M54" s="28" t="s">
        <v>754</v>
      </c>
      <c r="N54" s="28">
        <v>0.69499999999999995</v>
      </c>
      <c r="O54" s="29">
        <f>Table1345678910111213234[[#This Row],[Offloading Litres]]*Table1345678910111213234[[#This Row],[Rate]]</f>
        <v>27014.649999999998</v>
      </c>
      <c r="P54" s="30" t="s">
        <v>719</v>
      </c>
      <c r="Q54" s="28" t="s">
        <v>948</v>
      </c>
    </row>
    <row r="55" spans="1:17" x14ac:dyDescent="0.3">
      <c r="A55" s="7">
        <v>45737</v>
      </c>
      <c r="B55" s="7">
        <v>45738</v>
      </c>
      <c r="C55" t="s">
        <v>23</v>
      </c>
      <c r="D55" t="s">
        <v>286</v>
      </c>
      <c r="E55" t="s">
        <v>617</v>
      </c>
      <c r="F55">
        <v>424241122</v>
      </c>
      <c r="G55">
        <v>802443158</v>
      </c>
      <c r="H55">
        <v>38688</v>
      </c>
      <c r="I55">
        <v>38918</v>
      </c>
      <c r="J55">
        <f>Table1345678910111213234[[#This Row],[Offloading Litres]]-Table1345678910111213234[[#This Row],[LOADED LITRES]]</f>
        <v>230</v>
      </c>
      <c r="K55" t="s">
        <v>32</v>
      </c>
      <c r="L55">
        <v>75475834</v>
      </c>
      <c r="M55" t="s">
        <v>761</v>
      </c>
      <c r="N55">
        <v>0.69499999999999995</v>
      </c>
      <c r="O55" s="8">
        <f>Table1345678910111213234[[#This Row],[Offloading Litres]]*Table1345678910111213234[[#This Row],[Rate]]</f>
        <v>27048.01</v>
      </c>
      <c r="P55" s="9" t="s">
        <v>716</v>
      </c>
    </row>
    <row r="56" spans="1:17" x14ac:dyDescent="0.3">
      <c r="A56" s="7">
        <v>45737</v>
      </c>
      <c r="B56" s="7">
        <v>45738</v>
      </c>
      <c r="C56" t="s">
        <v>34</v>
      </c>
      <c r="D56" t="s">
        <v>624</v>
      </c>
      <c r="E56" t="s">
        <v>617</v>
      </c>
      <c r="F56">
        <v>424241294</v>
      </c>
      <c r="G56">
        <v>802443260</v>
      </c>
      <c r="H56">
        <v>38716</v>
      </c>
      <c r="I56">
        <v>38959</v>
      </c>
      <c r="J56">
        <f>Table1345678910111213234[[#This Row],[Offloading Litres]]-Table1345678910111213234[[#This Row],[LOADED LITRES]]</f>
        <v>243</v>
      </c>
      <c r="K56" t="s">
        <v>32</v>
      </c>
      <c r="L56">
        <v>75475955</v>
      </c>
      <c r="M56" t="s">
        <v>759</v>
      </c>
      <c r="N56">
        <v>0.69499999999999995</v>
      </c>
      <c r="O56" s="8">
        <f>Table1345678910111213234[[#This Row],[Offloading Litres]]*Table1345678910111213234[[#This Row],[Rate]]</f>
        <v>27076.504999999997</v>
      </c>
      <c r="P56" s="9" t="s">
        <v>657</v>
      </c>
      <c r="Q56" t="s">
        <v>842</v>
      </c>
    </row>
    <row r="57" spans="1:17" x14ac:dyDescent="0.3">
      <c r="A57" s="7">
        <v>45737</v>
      </c>
      <c r="B57" s="7">
        <v>45738</v>
      </c>
      <c r="C57" t="s">
        <v>30</v>
      </c>
      <c r="D57" t="s">
        <v>287</v>
      </c>
      <c r="E57" t="s">
        <v>617</v>
      </c>
      <c r="F57">
        <v>424241259</v>
      </c>
      <c r="G57">
        <v>802443614</v>
      </c>
      <c r="H57">
        <v>38721</v>
      </c>
      <c r="I57">
        <v>38986</v>
      </c>
      <c r="J57">
        <f>Table1345678910111213234[[#This Row],[Offloading Litres]]-Table1345678910111213234[[#This Row],[LOADED LITRES]]</f>
        <v>265</v>
      </c>
      <c r="K57" t="s">
        <v>32</v>
      </c>
      <c r="L57">
        <v>75476276</v>
      </c>
      <c r="M57" t="s">
        <v>757</v>
      </c>
      <c r="N57">
        <v>0.69499999999999995</v>
      </c>
      <c r="O57" s="8">
        <f>Table1345678910111213234[[#This Row],[Offloading Litres]]*Table1345678910111213234[[#This Row],[Rate]]</f>
        <v>27095.269999999997</v>
      </c>
      <c r="P57" s="9" t="s">
        <v>717</v>
      </c>
      <c r="Q57" t="s">
        <v>839</v>
      </c>
    </row>
    <row r="58" spans="1:17" x14ac:dyDescent="0.3">
      <c r="A58" s="7">
        <v>45738</v>
      </c>
      <c r="B58" s="7">
        <v>45739</v>
      </c>
      <c r="C58" t="s">
        <v>21</v>
      </c>
      <c r="D58" t="s">
        <v>27</v>
      </c>
      <c r="E58" t="s">
        <v>617</v>
      </c>
      <c r="F58">
        <v>424241277</v>
      </c>
      <c r="G58">
        <v>802445212</v>
      </c>
      <c r="H58">
        <v>39119</v>
      </c>
      <c r="I58">
        <v>39486</v>
      </c>
      <c r="J58">
        <f>Table1345678910111213234[[#This Row],[Offloading Litres]]-Table1345678910111213234[[#This Row],[LOADED LITRES]]</f>
        <v>367</v>
      </c>
      <c r="K58" t="s">
        <v>32</v>
      </c>
      <c r="L58">
        <v>75478074</v>
      </c>
      <c r="M58" t="s">
        <v>760</v>
      </c>
      <c r="N58">
        <v>0.69499999999999995</v>
      </c>
      <c r="O58" s="8">
        <f>Table1345678910111213234[[#This Row],[Offloading Litres]]*Table1345678910111213234[[#This Row],[Rate]]</f>
        <v>27442.769999999997</v>
      </c>
      <c r="P58" s="9" t="s">
        <v>720</v>
      </c>
      <c r="Q58" t="s">
        <v>844</v>
      </c>
    </row>
    <row r="59" spans="1:17" x14ac:dyDescent="0.3">
      <c r="A59" s="7">
        <v>45739</v>
      </c>
      <c r="B59" s="7">
        <v>45740</v>
      </c>
      <c r="C59" t="s">
        <v>22</v>
      </c>
      <c r="D59" t="s">
        <v>26</v>
      </c>
      <c r="E59" t="s">
        <v>617</v>
      </c>
      <c r="F59">
        <v>424241747</v>
      </c>
      <c r="G59">
        <v>802448297</v>
      </c>
      <c r="H59">
        <v>39608</v>
      </c>
      <c r="I59">
        <v>39791</v>
      </c>
      <c r="J59">
        <f>Table1345678910111213234[[#This Row],[Offloading Litres]]-Table1345678910111213234[[#This Row],[LOADED LITRES]]</f>
        <v>183</v>
      </c>
      <c r="K59" t="s">
        <v>32</v>
      </c>
      <c r="L59">
        <v>75479169</v>
      </c>
      <c r="M59" t="s">
        <v>758</v>
      </c>
      <c r="N59">
        <v>0.69499999999999995</v>
      </c>
      <c r="O59" s="8">
        <f>Table1345678910111213234[[#This Row],[Offloading Litres]]*Table1345678910111213234[[#This Row],[Rate]]</f>
        <v>27654.744999999999</v>
      </c>
      <c r="P59" s="9" t="s">
        <v>721</v>
      </c>
      <c r="Q59" t="s">
        <v>806</v>
      </c>
    </row>
    <row r="60" spans="1:17" x14ac:dyDescent="0.3">
      <c r="A60" s="7">
        <v>45739</v>
      </c>
      <c r="B60" s="7">
        <v>45740</v>
      </c>
      <c r="C60" t="s">
        <v>30</v>
      </c>
      <c r="D60" t="s">
        <v>287</v>
      </c>
      <c r="E60" t="s">
        <v>617</v>
      </c>
      <c r="F60">
        <v>424251577</v>
      </c>
      <c r="G60">
        <v>802446423</v>
      </c>
      <c r="H60">
        <v>38642</v>
      </c>
      <c r="I60">
        <v>38948</v>
      </c>
      <c r="J60">
        <f>Table1345678910111213234[[#This Row],[Offloading Litres]]-Table1345678910111213234[[#This Row],[LOADED LITRES]]</f>
        <v>306</v>
      </c>
      <c r="K60" t="s">
        <v>32</v>
      </c>
      <c r="L60">
        <v>75479254</v>
      </c>
      <c r="M60" t="s">
        <v>762</v>
      </c>
      <c r="N60">
        <v>0.69499999999999995</v>
      </c>
      <c r="O60" s="8">
        <f>Table1345678910111213234[[#This Row],[Offloading Litres]]*Table1345678910111213234[[#This Row],[Rate]]</f>
        <v>27068.859999999997</v>
      </c>
      <c r="P60" s="9" t="s">
        <v>723</v>
      </c>
      <c r="Q60" t="s">
        <v>847</v>
      </c>
    </row>
    <row r="61" spans="1:17" x14ac:dyDescent="0.3">
      <c r="A61" s="7">
        <v>45739</v>
      </c>
      <c r="B61" s="7">
        <v>45740</v>
      </c>
      <c r="C61" t="s">
        <v>23</v>
      </c>
      <c r="D61" t="s">
        <v>286</v>
      </c>
      <c r="E61" t="s">
        <v>617</v>
      </c>
      <c r="F61">
        <v>424241372</v>
      </c>
      <c r="G61">
        <v>802446432</v>
      </c>
      <c r="H61">
        <v>38646</v>
      </c>
      <c r="I61">
        <v>38849</v>
      </c>
      <c r="J61">
        <f>Table1345678910111213234[[#This Row],[Offloading Litres]]-Table1345678910111213234[[#This Row],[LOADED LITRES]]</f>
        <v>203</v>
      </c>
      <c r="K61" t="s">
        <v>32</v>
      </c>
      <c r="L61">
        <v>75479258</v>
      </c>
      <c r="M61" t="s">
        <v>756</v>
      </c>
      <c r="N61">
        <v>0.69499999999999995</v>
      </c>
      <c r="O61" s="8">
        <f>Table1345678910111213234[[#This Row],[Offloading Litres]]*Table1345678910111213234[[#This Row],[Rate]]</f>
        <v>27000.054999999997</v>
      </c>
      <c r="P61" s="9" t="s">
        <v>722</v>
      </c>
      <c r="Q61" t="s">
        <v>845</v>
      </c>
    </row>
    <row r="62" spans="1:17" x14ac:dyDescent="0.3">
      <c r="A62" s="7">
        <v>45739</v>
      </c>
      <c r="B62" s="7">
        <v>45740</v>
      </c>
      <c r="C62" t="s">
        <v>34</v>
      </c>
      <c r="D62" t="s">
        <v>624</v>
      </c>
      <c r="E62" t="s">
        <v>617</v>
      </c>
      <c r="F62">
        <v>424241567</v>
      </c>
      <c r="G62">
        <v>802446464</v>
      </c>
      <c r="H62">
        <v>38683</v>
      </c>
      <c r="I62">
        <v>38916</v>
      </c>
      <c r="J62">
        <f>Table1345678910111213234[[#This Row],[Offloading Litres]]-Table1345678910111213234[[#This Row],[LOADED LITRES]]</f>
        <v>233</v>
      </c>
      <c r="K62" t="s">
        <v>32</v>
      </c>
      <c r="L62">
        <v>75479266</v>
      </c>
      <c r="M62" t="s">
        <v>763</v>
      </c>
      <c r="N62">
        <v>0.69499999999999995</v>
      </c>
      <c r="O62" s="8">
        <f>Table1345678910111213234[[#This Row],[Offloading Litres]]*Table1345678910111213234[[#This Row],[Rate]]</f>
        <v>27046.62</v>
      </c>
      <c r="P62" s="9" t="s">
        <v>724</v>
      </c>
      <c r="Q62" t="s">
        <v>846</v>
      </c>
    </row>
    <row r="63" spans="1:17" x14ac:dyDescent="0.3">
      <c r="A63" s="7">
        <v>45740</v>
      </c>
      <c r="B63" s="7">
        <v>45741</v>
      </c>
      <c r="C63" t="s">
        <v>21</v>
      </c>
      <c r="D63" t="s">
        <v>27</v>
      </c>
      <c r="E63" t="s">
        <v>617</v>
      </c>
      <c r="F63">
        <v>424241759</v>
      </c>
      <c r="G63">
        <v>802447062</v>
      </c>
      <c r="H63">
        <v>39190</v>
      </c>
      <c r="I63">
        <v>39545</v>
      </c>
      <c r="J63">
        <f>Table1345678910111213234[[#This Row],[Offloading Litres]]-Table1345678910111213234[[#This Row],[LOADED LITRES]]</f>
        <v>355</v>
      </c>
      <c r="K63" t="s">
        <v>32</v>
      </c>
      <c r="L63">
        <v>75479874</v>
      </c>
      <c r="M63" t="s">
        <v>764</v>
      </c>
      <c r="N63">
        <v>0.69499999999999995</v>
      </c>
      <c r="O63" s="8">
        <f>Table1345678910111213234[[#This Row],[Offloading Litres]]*Table1345678910111213234[[#This Row],[Rate]]</f>
        <v>27483.774999999998</v>
      </c>
      <c r="P63" s="9" t="s">
        <v>727</v>
      </c>
      <c r="Q63" t="s">
        <v>848</v>
      </c>
    </row>
    <row r="64" spans="1:17" x14ac:dyDescent="0.3">
      <c r="A64" s="7">
        <v>45740</v>
      </c>
      <c r="B64" s="7">
        <v>45741</v>
      </c>
      <c r="C64" t="s">
        <v>29</v>
      </c>
      <c r="D64" t="s">
        <v>644</v>
      </c>
      <c r="E64" t="s">
        <v>617</v>
      </c>
      <c r="F64">
        <v>424241506</v>
      </c>
      <c r="G64">
        <v>802447563</v>
      </c>
      <c r="H64">
        <v>39439</v>
      </c>
      <c r="I64">
        <v>39624</v>
      </c>
      <c r="J64">
        <f>Table1345678910111213234[[#This Row],[Offloading Litres]]-Table1345678910111213234[[#This Row],[LOADED LITRES]]</f>
        <v>185</v>
      </c>
      <c r="K64" t="s">
        <v>32</v>
      </c>
      <c r="L64">
        <v>75480208</v>
      </c>
      <c r="M64" t="s">
        <v>765</v>
      </c>
      <c r="N64">
        <v>0.69499999999999995</v>
      </c>
      <c r="O64" s="8">
        <f>Table1345678910111213234[[#This Row],[Offloading Litres]]*Table1345678910111213234[[#This Row],[Rate]]</f>
        <v>27538.679999999997</v>
      </c>
      <c r="P64" s="9" t="s">
        <v>726</v>
      </c>
      <c r="Q64" t="s">
        <v>849</v>
      </c>
    </row>
    <row r="65" spans="1:20" x14ac:dyDescent="0.3">
      <c r="A65" s="7">
        <v>45741</v>
      </c>
      <c r="B65" s="7">
        <v>45741</v>
      </c>
      <c r="C65" t="s">
        <v>22</v>
      </c>
      <c r="D65" t="s">
        <v>26</v>
      </c>
      <c r="E65" t="s">
        <v>628</v>
      </c>
      <c r="F65">
        <v>424043797</v>
      </c>
      <c r="G65">
        <v>802451529</v>
      </c>
      <c r="H65">
        <v>43855</v>
      </c>
      <c r="I65">
        <v>44025</v>
      </c>
      <c r="J65">
        <f>Table1345678910111213234[[#This Row],[Offloading Litres]]-Table1345678910111213234[[#This Row],[LOADED LITRES]]</f>
        <v>170</v>
      </c>
      <c r="K65" t="s">
        <v>32</v>
      </c>
      <c r="L65">
        <v>75484423</v>
      </c>
      <c r="M65" t="s">
        <v>766</v>
      </c>
      <c r="N65">
        <v>0.6956</v>
      </c>
      <c r="O65" s="8">
        <f>Table1345678910111213234[[#This Row],[Offloading Litres]]*Table1345678910111213234[[#This Row],[Rate]]</f>
        <v>30623.79</v>
      </c>
      <c r="P65" s="9" t="s">
        <v>728</v>
      </c>
      <c r="Q65" t="s">
        <v>851</v>
      </c>
    </row>
    <row r="66" spans="1:20" x14ac:dyDescent="0.3">
      <c r="A66" s="7">
        <v>45741</v>
      </c>
      <c r="B66" s="7">
        <v>45742</v>
      </c>
      <c r="C66" t="s">
        <v>28</v>
      </c>
      <c r="D66" t="s">
        <v>19</v>
      </c>
      <c r="E66" t="s">
        <v>725</v>
      </c>
      <c r="F66">
        <v>424241454</v>
      </c>
      <c r="G66">
        <v>802452102</v>
      </c>
      <c r="H66">
        <v>39457</v>
      </c>
      <c r="I66">
        <v>39623</v>
      </c>
      <c r="J66">
        <f>Table1345678910111213234[[#This Row],[Offloading Litres]]-Table1345678910111213234[[#This Row],[LOADED LITRES]]</f>
        <v>166</v>
      </c>
      <c r="K66" t="s">
        <v>32</v>
      </c>
      <c r="L66">
        <v>75484898</v>
      </c>
      <c r="M66" t="s">
        <v>767</v>
      </c>
      <c r="N66">
        <v>0.69499999999999995</v>
      </c>
      <c r="O66" s="8">
        <f>Table1345678910111213234[[#This Row],[Offloading Litres]]*Table1345678910111213234[[#This Row],[Rate]]</f>
        <v>27537.984999999997</v>
      </c>
      <c r="P66" s="9" t="s">
        <v>729</v>
      </c>
      <c r="Q66" t="s">
        <v>853</v>
      </c>
    </row>
    <row r="67" spans="1:20" s="12" customFormat="1" x14ac:dyDescent="0.3">
      <c r="A67" s="7">
        <v>45741</v>
      </c>
      <c r="B67" s="7">
        <v>45742</v>
      </c>
      <c r="C67" t="s">
        <v>34</v>
      </c>
      <c r="D67" t="s">
        <v>624</v>
      </c>
      <c r="E67" t="s">
        <v>628</v>
      </c>
      <c r="F67">
        <v>424241000</v>
      </c>
      <c r="G67">
        <v>802456104</v>
      </c>
      <c r="H67">
        <v>38629</v>
      </c>
      <c r="I67">
        <v>38816</v>
      </c>
      <c r="J67">
        <f>Table1345678910111213234[[#This Row],[Offloading Litres]]-Table1345678910111213234[[#This Row],[LOADED LITRES]]</f>
        <v>187</v>
      </c>
      <c r="K67" t="s">
        <v>32</v>
      </c>
      <c r="L67">
        <v>75488874</v>
      </c>
      <c r="M67" t="s">
        <v>768</v>
      </c>
      <c r="N67">
        <v>0.6956</v>
      </c>
      <c r="O67" s="8">
        <f>Table1345678910111213234[[#This Row],[Offloading Litres]]*Table1345678910111213234[[#This Row],[Rate]]</f>
        <v>27000.409599999999</v>
      </c>
      <c r="P67" s="9" t="s">
        <v>732</v>
      </c>
      <c r="Q67" t="s">
        <v>850</v>
      </c>
      <c r="R67"/>
      <c r="S67"/>
      <c r="T67"/>
    </row>
    <row r="68" spans="1:20" x14ac:dyDescent="0.3">
      <c r="A68" s="7">
        <v>45741</v>
      </c>
      <c r="B68" s="7">
        <v>45742</v>
      </c>
      <c r="C68" t="s">
        <v>30</v>
      </c>
      <c r="D68" t="s">
        <v>287</v>
      </c>
      <c r="E68" t="s">
        <v>628</v>
      </c>
      <c r="F68">
        <v>424241028</v>
      </c>
      <c r="G68">
        <v>802456145</v>
      </c>
      <c r="H68">
        <v>38614</v>
      </c>
      <c r="I68">
        <v>38825</v>
      </c>
      <c r="J68">
        <f>Table1345678910111213234[[#This Row],[Offloading Litres]]-Table1345678910111213234[[#This Row],[LOADED LITRES]]</f>
        <v>211</v>
      </c>
      <c r="K68" t="s">
        <v>32</v>
      </c>
      <c r="L68">
        <v>75488881</v>
      </c>
      <c r="M68" t="s">
        <v>769</v>
      </c>
      <c r="N68">
        <v>0.6956</v>
      </c>
      <c r="O68" s="8">
        <f>Table1345678910111213234[[#This Row],[Offloading Litres]]*Table1345678910111213234[[#This Row],[Rate]]</f>
        <v>27006.67</v>
      </c>
      <c r="P68" s="9" t="s">
        <v>731</v>
      </c>
      <c r="Q68" t="s">
        <v>854</v>
      </c>
    </row>
    <row r="69" spans="1:20" x14ac:dyDescent="0.3">
      <c r="A69" s="7">
        <v>45742</v>
      </c>
      <c r="B69" s="7">
        <v>45743</v>
      </c>
      <c r="C69" t="s">
        <v>21</v>
      </c>
      <c r="D69" t="s">
        <v>27</v>
      </c>
      <c r="E69" t="s">
        <v>628</v>
      </c>
      <c r="F69">
        <v>424241012</v>
      </c>
      <c r="G69">
        <v>802457228</v>
      </c>
      <c r="H69">
        <v>39188</v>
      </c>
      <c r="I69">
        <v>39479</v>
      </c>
      <c r="J69">
        <f>Table1345678910111213234[[#This Row],[Offloading Litres]]-Table1345678910111213234[[#This Row],[LOADED LITRES]]</f>
        <v>291</v>
      </c>
      <c r="K69" t="s">
        <v>32</v>
      </c>
      <c r="L69">
        <v>75490011</v>
      </c>
      <c r="M69" t="s">
        <v>770</v>
      </c>
      <c r="N69">
        <v>0.6956</v>
      </c>
      <c r="O69" s="8">
        <f>Table1345678910111213234[[#This Row],[Offloading Litres]]*Table1345678910111213234[[#This Row],[Rate]]</f>
        <v>27461.592400000001</v>
      </c>
      <c r="P69" s="9" t="s">
        <v>733</v>
      </c>
      <c r="Q69" t="s">
        <v>828</v>
      </c>
    </row>
    <row r="70" spans="1:20" x14ac:dyDescent="0.3">
      <c r="A70" s="7">
        <v>45742</v>
      </c>
      <c r="B70" s="7">
        <v>45744</v>
      </c>
      <c r="C70" t="s">
        <v>29</v>
      </c>
      <c r="D70" t="s">
        <v>644</v>
      </c>
      <c r="E70" t="s">
        <v>725</v>
      </c>
      <c r="F70">
        <v>424241726</v>
      </c>
      <c r="G70">
        <v>802460035</v>
      </c>
      <c r="H70">
        <v>39475</v>
      </c>
      <c r="I70">
        <v>39535</v>
      </c>
      <c r="J70">
        <f>Table1345678910111213234[[#This Row],[Offloading Litres]]-Table1345678910111213234[[#This Row],[LOADED LITRES]]</f>
        <v>60</v>
      </c>
      <c r="K70" t="s">
        <v>32</v>
      </c>
      <c r="L70">
        <v>75492957</v>
      </c>
      <c r="M70" t="s">
        <v>771</v>
      </c>
      <c r="N70">
        <v>0.69499999999999995</v>
      </c>
      <c r="O70" s="8">
        <f>Table1345678910111213234[[#This Row],[Offloading Litres]]*Table1345678910111213234[[#This Row],[Rate]]</f>
        <v>27476.824999999997</v>
      </c>
      <c r="P70" s="9" t="s">
        <v>734</v>
      </c>
      <c r="Q70" t="s">
        <v>855</v>
      </c>
    </row>
    <row r="71" spans="1:20" x14ac:dyDescent="0.3">
      <c r="A71" s="7">
        <v>45743</v>
      </c>
      <c r="B71" s="7">
        <v>45744</v>
      </c>
      <c r="C71" t="s">
        <v>28</v>
      </c>
      <c r="D71" t="s">
        <v>19</v>
      </c>
      <c r="E71" t="s">
        <v>725</v>
      </c>
      <c r="F71">
        <v>424241773</v>
      </c>
      <c r="G71">
        <v>802460883</v>
      </c>
      <c r="H71">
        <v>39526</v>
      </c>
      <c r="I71">
        <v>39563</v>
      </c>
      <c r="J71">
        <f>Table1345678910111213234[[#This Row],[Offloading Litres]]-Table1345678910111213234[[#This Row],[LOADED LITRES]]</f>
        <v>37</v>
      </c>
      <c r="K71" t="s">
        <v>32</v>
      </c>
      <c r="L71">
        <v>75493845</v>
      </c>
      <c r="M71" t="s">
        <v>772</v>
      </c>
      <c r="N71">
        <v>0.69499999999999995</v>
      </c>
      <c r="O71" s="8">
        <f>Table1345678910111213234[[#This Row],[Offloading Litres]]*Table1345678910111213234[[#This Row],[Rate]]</f>
        <v>27496.285</v>
      </c>
      <c r="P71" s="9" t="s">
        <v>735</v>
      </c>
      <c r="Q71" t="s">
        <v>857</v>
      </c>
    </row>
    <row r="72" spans="1:20" x14ac:dyDescent="0.3">
      <c r="A72" s="7">
        <v>45743</v>
      </c>
      <c r="B72" s="7">
        <v>45744</v>
      </c>
      <c r="C72" t="s">
        <v>22</v>
      </c>
      <c r="D72" t="s">
        <v>349</v>
      </c>
      <c r="E72" t="s">
        <v>628</v>
      </c>
      <c r="F72">
        <v>424241017</v>
      </c>
      <c r="G72">
        <v>802462578</v>
      </c>
      <c r="H72">
        <v>39727</v>
      </c>
      <c r="I72">
        <v>39749</v>
      </c>
      <c r="J72">
        <f>Table1345678910111213234[[#This Row],[Offloading Litres]]-Table1345678910111213234[[#This Row],[LOADED LITRES]]</f>
        <v>22</v>
      </c>
      <c r="K72" t="s">
        <v>32</v>
      </c>
      <c r="L72">
        <v>75495593</v>
      </c>
      <c r="M72" t="s">
        <v>773</v>
      </c>
      <c r="N72">
        <v>0.6956</v>
      </c>
      <c r="O72" s="8">
        <f>Table1345678910111213234[[#This Row],[Offloading Litres]]*Table1345678910111213234[[#This Row],[Rate]]</f>
        <v>27649.404399999999</v>
      </c>
      <c r="P72" s="9" t="s">
        <v>736</v>
      </c>
      <c r="Q72" t="s">
        <v>856</v>
      </c>
    </row>
    <row r="73" spans="1:20" s="12" customFormat="1" x14ac:dyDescent="0.3">
      <c r="A73" s="7">
        <v>45743</v>
      </c>
      <c r="B73" s="7">
        <v>45745</v>
      </c>
      <c r="C73" t="s">
        <v>30</v>
      </c>
      <c r="D73" t="s">
        <v>287</v>
      </c>
      <c r="E73" t="s">
        <v>725</v>
      </c>
      <c r="F73">
        <v>424241784</v>
      </c>
      <c r="G73">
        <v>802464775</v>
      </c>
      <c r="H73">
        <v>38739</v>
      </c>
      <c r="I73">
        <v>38766</v>
      </c>
      <c r="J73">
        <f>Table1345678910111213234[[#This Row],[Offloading Litres]]-Table1345678910111213234[[#This Row],[LOADED LITRES]]</f>
        <v>27</v>
      </c>
      <c r="K73" t="s">
        <v>32</v>
      </c>
      <c r="L73">
        <v>75498125</v>
      </c>
      <c r="M73" t="s">
        <v>774</v>
      </c>
      <c r="N73">
        <v>0.69499999999999995</v>
      </c>
      <c r="O73" s="8">
        <f>Table1345678910111213234[[#This Row],[Offloading Litres]]*Table1345678910111213234[[#This Row],[Rate]]</f>
        <v>26942.37</v>
      </c>
      <c r="P73" s="9" t="s">
        <v>737</v>
      </c>
      <c r="Q73" t="s">
        <v>858</v>
      </c>
      <c r="R73"/>
      <c r="S73"/>
      <c r="T73"/>
    </row>
    <row r="74" spans="1:20" x14ac:dyDescent="0.3">
      <c r="A74" s="7">
        <v>45744</v>
      </c>
      <c r="B74" s="7">
        <v>45747</v>
      </c>
      <c r="C74" t="s">
        <v>34</v>
      </c>
      <c r="D74" t="s">
        <v>624</v>
      </c>
      <c r="E74" t="s">
        <v>628</v>
      </c>
      <c r="F74">
        <v>424241035</v>
      </c>
      <c r="G74">
        <v>802464065</v>
      </c>
      <c r="H74">
        <v>38725</v>
      </c>
      <c r="I74">
        <v>38811</v>
      </c>
      <c r="J74">
        <f>Table1345678910111213234[[#This Row],[Offloading Litres]]-Table1345678910111213234[[#This Row],[LOADED LITRES]]</f>
        <v>86</v>
      </c>
      <c r="K74" t="s">
        <v>32</v>
      </c>
      <c r="L74">
        <v>75498314</v>
      </c>
      <c r="M74" t="s">
        <v>775</v>
      </c>
      <c r="N74">
        <v>0.6956</v>
      </c>
      <c r="O74" s="8">
        <f>Table1345678910111213234[[#This Row],[Offloading Litres]]*Table1345678910111213234[[#This Row],[Rate]]</f>
        <v>26996.9316</v>
      </c>
      <c r="P74" s="9" t="s">
        <v>743</v>
      </c>
      <c r="Q74" t="s">
        <v>949</v>
      </c>
    </row>
    <row r="75" spans="1:20" x14ac:dyDescent="0.3">
      <c r="A75" s="7">
        <v>45744</v>
      </c>
      <c r="B75" s="7">
        <v>45748</v>
      </c>
      <c r="C75" t="s">
        <v>23</v>
      </c>
      <c r="D75" t="s">
        <v>286</v>
      </c>
      <c r="E75" t="s">
        <v>628</v>
      </c>
      <c r="F75">
        <v>424241135</v>
      </c>
      <c r="G75">
        <v>802467050</v>
      </c>
      <c r="H75">
        <v>38741</v>
      </c>
      <c r="I75">
        <v>38742</v>
      </c>
      <c r="J75">
        <f>Table1345678910111213234[[#This Row],[Offloading Litres]]-Table1345678910111213234[[#This Row],[LOADED LITRES]]</f>
        <v>1</v>
      </c>
      <c r="K75" t="s">
        <v>32</v>
      </c>
      <c r="L75">
        <v>75500225</v>
      </c>
      <c r="M75" t="s">
        <v>776</v>
      </c>
      <c r="N75">
        <v>0.6956</v>
      </c>
      <c r="O75" s="8">
        <f>Table1345678910111213234[[#This Row],[Offloading Litres]]*Table1345678910111213234[[#This Row],[Rate]]</f>
        <v>26948.9352</v>
      </c>
      <c r="P75" s="9" t="s">
        <v>745</v>
      </c>
      <c r="Q75" t="s">
        <v>1076</v>
      </c>
    </row>
    <row r="76" spans="1:20" x14ac:dyDescent="0.3">
      <c r="A76" s="7">
        <v>45744</v>
      </c>
      <c r="B76" s="7">
        <v>45747</v>
      </c>
      <c r="C76" t="s">
        <v>21</v>
      </c>
      <c r="D76" t="s">
        <v>27</v>
      </c>
      <c r="E76" t="s">
        <v>628</v>
      </c>
      <c r="F76">
        <v>424241058</v>
      </c>
      <c r="G76">
        <v>802469646</v>
      </c>
      <c r="H76">
        <v>39289</v>
      </c>
      <c r="I76">
        <v>39537</v>
      </c>
      <c r="J76">
        <f>Table1345678910111213234[[#This Row],[Offloading Litres]]-Table1345678910111213234[[#This Row],[LOADED LITRES]]</f>
        <v>248</v>
      </c>
      <c r="K76" t="s">
        <v>32</v>
      </c>
      <c r="L76">
        <v>75503435</v>
      </c>
      <c r="M76" t="s">
        <v>777</v>
      </c>
      <c r="N76">
        <v>0.6956</v>
      </c>
      <c r="O76" s="8">
        <f>Table1345678910111213234[[#This Row],[Offloading Litres]]*Table1345678910111213234[[#This Row],[Rate]]</f>
        <v>27501.9372</v>
      </c>
      <c r="P76" s="9" t="s">
        <v>740</v>
      </c>
      <c r="Q76" t="s">
        <v>954</v>
      </c>
    </row>
    <row r="77" spans="1:20" x14ac:dyDescent="0.3">
      <c r="A77" s="7">
        <v>45744</v>
      </c>
      <c r="B77" s="7">
        <v>45747</v>
      </c>
      <c r="C77" t="s">
        <v>29</v>
      </c>
      <c r="D77" t="s">
        <v>644</v>
      </c>
      <c r="E77" t="s">
        <v>628</v>
      </c>
      <c r="F77">
        <v>424241099</v>
      </c>
      <c r="G77">
        <v>802469881</v>
      </c>
      <c r="H77">
        <v>39561</v>
      </c>
      <c r="I77">
        <v>39671</v>
      </c>
      <c r="J77">
        <f>Table1345678910111213234[[#This Row],[Offloading Litres]]-Table1345678910111213234[[#This Row],[LOADED LITRES]]</f>
        <v>110</v>
      </c>
      <c r="K77" t="s">
        <v>32</v>
      </c>
      <c r="L77">
        <v>75503739</v>
      </c>
      <c r="M77" t="s">
        <v>778</v>
      </c>
      <c r="N77">
        <v>0.6956</v>
      </c>
      <c r="O77" s="8">
        <f>Table1345678910111213234[[#This Row],[Offloading Litres]]*Table1345678910111213234[[#This Row],[Rate]]</f>
        <v>27595.1476</v>
      </c>
      <c r="P77" s="9" t="s">
        <v>741</v>
      </c>
      <c r="Q77" t="s">
        <v>859</v>
      </c>
    </row>
    <row r="78" spans="1:20" s="12" customFormat="1" x14ac:dyDescent="0.3">
      <c r="A78" s="7">
        <v>45745</v>
      </c>
      <c r="B78" s="7">
        <v>45747</v>
      </c>
      <c r="C78" t="s">
        <v>28</v>
      </c>
      <c r="D78" t="s">
        <v>19</v>
      </c>
      <c r="E78" t="s">
        <v>628</v>
      </c>
      <c r="F78">
        <v>424241071</v>
      </c>
      <c r="G78">
        <v>802470136</v>
      </c>
      <c r="H78">
        <v>39580</v>
      </c>
      <c r="I78">
        <v>39695</v>
      </c>
      <c r="J78">
        <f>Table1345678910111213234[[#This Row],[Offloading Litres]]-Table1345678910111213234[[#This Row],[LOADED LITRES]]</f>
        <v>115</v>
      </c>
      <c r="K78" t="s">
        <v>32</v>
      </c>
      <c r="L78">
        <v>75504151</v>
      </c>
      <c r="M78" t="s">
        <v>779</v>
      </c>
      <c r="N78">
        <v>0.6956</v>
      </c>
      <c r="O78" s="8">
        <f>Table1345678910111213234[[#This Row],[Offloading Litres]]*Table1345678910111213234[[#This Row],[Rate]]</f>
        <v>27611.842000000001</v>
      </c>
      <c r="P78" s="9" t="s">
        <v>744</v>
      </c>
      <c r="Q78" t="s">
        <v>952</v>
      </c>
      <c r="R78"/>
      <c r="S78"/>
      <c r="T78"/>
    </row>
    <row r="79" spans="1:20" x14ac:dyDescent="0.3">
      <c r="A79" s="7">
        <v>45745</v>
      </c>
      <c r="B79" s="7">
        <v>45747</v>
      </c>
      <c r="C79" t="s">
        <v>22</v>
      </c>
      <c r="D79" t="s">
        <v>349</v>
      </c>
      <c r="E79" t="s">
        <v>40</v>
      </c>
      <c r="F79">
        <v>424538424</v>
      </c>
      <c r="G79">
        <v>802472583</v>
      </c>
      <c r="H79">
        <v>43922</v>
      </c>
      <c r="I79">
        <v>44114</v>
      </c>
      <c r="J79">
        <f>Table1345678910111213234[[#This Row],[Offloading Litres]]-Table1345678910111213234[[#This Row],[LOADED LITRES]]</f>
        <v>192</v>
      </c>
      <c r="K79" t="s">
        <v>25</v>
      </c>
      <c r="L79">
        <v>75507038</v>
      </c>
      <c r="M79" t="s">
        <v>780</v>
      </c>
      <c r="N79">
        <v>0.75219999999999998</v>
      </c>
      <c r="O79" s="8">
        <f>Table1345678910111213234[[#This Row],[Offloading Litres]]*Table1345678910111213234[[#This Row],[Rate]]</f>
        <v>33182.550799999997</v>
      </c>
      <c r="P79" s="9" t="s">
        <v>739</v>
      </c>
      <c r="Q79" t="s">
        <v>950</v>
      </c>
    </row>
    <row r="80" spans="1:20" x14ac:dyDescent="0.3">
      <c r="A80" s="7">
        <v>45745</v>
      </c>
      <c r="B80" s="7">
        <v>45747</v>
      </c>
      <c r="C80" t="s">
        <v>30</v>
      </c>
      <c r="D80" t="s">
        <v>287</v>
      </c>
      <c r="E80" t="s">
        <v>40</v>
      </c>
      <c r="F80">
        <v>424538436</v>
      </c>
      <c r="G80">
        <v>802472733</v>
      </c>
      <c r="H80">
        <v>43819</v>
      </c>
      <c r="I80">
        <v>44012</v>
      </c>
      <c r="J80">
        <f>Table1345678910111213234[[#This Row],[Offloading Litres]]-Table1345678910111213234[[#This Row],[LOADED LITRES]]</f>
        <v>193</v>
      </c>
      <c r="K80" t="s">
        <v>25</v>
      </c>
      <c r="L80">
        <v>75507188</v>
      </c>
      <c r="M80" t="s">
        <v>781</v>
      </c>
      <c r="N80">
        <v>0.75219999999999998</v>
      </c>
      <c r="O80" s="8">
        <f>Table1345678910111213234[[#This Row],[Offloading Litres]]*Table1345678910111213234[[#This Row],[Rate]]</f>
        <v>33105.826399999998</v>
      </c>
      <c r="P80" s="9" t="s">
        <v>738</v>
      </c>
      <c r="Q80" t="s">
        <v>951</v>
      </c>
    </row>
    <row r="81" spans="1:17" x14ac:dyDescent="0.3">
      <c r="A81" s="7">
        <v>45741</v>
      </c>
      <c r="B81" s="7">
        <v>45742</v>
      </c>
      <c r="C81" t="s">
        <v>23</v>
      </c>
      <c r="D81" t="s">
        <v>286</v>
      </c>
      <c r="E81" t="s">
        <v>628</v>
      </c>
      <c r="F81">
        <v>424240992</v>
      </c>
      <c r="G81">
        <v>802456004</v>
      </c>
      <c r="H81">
        <v>38626</v>
      </c>
      <c r="I81">
        <v>38824</v>
      </c>
      <c r="J81">
        <f>Table1345678910111213234[[#This Row],[Offloading Litres]]-Table1345678910111213234[[#This Row],[LOADED LITRES]]</f>
        <v>198</v>
      </c>
      <c r="K81" t="s">
        <v>32</v>
      </c>
      <c r="L81">
        <v>75488713</v>
      </c>
      <c r="M81" t="s">
        <v>782</v>
      </c>
      <c r="N81">
        <v>0.6956</v>
      </c>
      <c r="O81" s="8">
        <f>Table1345678910111213234[[#This Row],[Offloading Litres]]*Table1345678910111213234[[#This Row],[Rate]]</f>
        <v>27005.974399999999</v>
      </c>
      <c r="P81" s="9" t="s">
        <v>730</v>
      </c>
      <c r="Q81" t="s">
        <v>852</v>
      </c>
    </row>
    <row r="82" spans="1:17" x14ac:dyDescent="0.3">
      <c r="A82" s="7">
        <v>45744</v>
      </c>
      <c r="B82" s="7">
        <v>45747</v>
      </c>
      <c r="C82" t="s">
        <v>103</v>
      </c>
      <c r="D82" t="s">
        <v>619</v>
      </c>
      <c r="E82" t="s">
        <v>628</v>
      </c>
      <c r="F82">
        <v>424241052</v>
      </c>
      <c r="G82">
        <v>802467556</v>
      </c>
      <c r="H82">
        <v>39545</v>
      </c>
      <c r="I82">
        <v>39761</v>
      </c>
      <c r="J82">
        <f>Table1345678910111213234[[#This Row],[Offloading Litres]]-Table1345678910111213234[[#This Row],[LOADED LITRES]]</f>
        <v>216</v>
      </c>
      <c r="K82" t="s">
        <v>32</v>
      </c>
      <c r="L82">
        <v>75500094</v>
      </c>
      <c r="M82" t="s">
        <v>955</v>
      </c>
      <c r="N82">
        <v>0.6956</v>
      </c>
      <c r="O82" s="8">
        <f>Table1345678910111213234[[#This Row],[Offloading Litres]]*Table1345678910111213234[[#This Row],[Rate]]</f>
        <v>27657.7516</v>
      </c>
      <c r="P82" s="9" t="s">
        <v>742</v>
      </c>
      <c r="Q82" t="s">
        <v>953</v>
      </c>
    </row>
  </sheetData>
  <phoneticPr fontId="2" type="noConversion"/>
  <conditionalFormatting sqref="F1:G1">
    <cfRule type="duplicateValues" dxfId="27" priority="1"/>
  </conditionalFormatting>
  <conditionalFormatting sqref="G1">
    <cfRule type="duplicateValues" dxfId="26" priority="2"/>
  </conditionalFormatting>
  <conditionalFormatting sqref="L1">
    <cfRule type="duplicateValues" dxfId="25" priority="3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10C83-86DF-43BC-93C9-41FDA95AFE81}">
  <dimension ref="A1:T81"/>
  <sheetViews>
    <sheetView topLeftCell="B29" zoomScaleNormal="100" workbookViewId="0">
      <selection activeCell="L42" sqref="L42"/>
    </sheetView>
  </sheetViews>
  <sheetFormatPr defaultRowHeight="14.4" x14ac:dyDescent="0.3"/>
  <cols>
    <col min="1" max="2" width="13.33203125" customWidth="1"/>
    <col min="3" max="3" width="9.88671875" customWidth="1"/>
    <col min="4" max="4" width="20.33203125" customWidth="1"/>
    <col min="5" max="5" width="22.88671875" customWidth="1"/>
    <col min="6" max="9" width="13.33203125" customWidth="1"/>
    <col min="10" max="10" width="9" customWidth="1"/>
    <col min="11" max="11" width="8.33203125" customWidth="1"/>
    <col min="12" max="12" width="10.44140625" customWidth="1"/>
    <col min="13" max="13" width="13.5546875" customWidth="1"/>
    <col min="14" max="14" width="9.44140625" customWidth="1"/>
    <col min="15" max="15" width="10.109375" style="8" customWidth="1"/>
    <col min="16" max="16" width="14.6640625" customWidth="1"/>
    <col min="17" max="17" width="10.6640625" customWidth="1"/>
    <col min="18" max="18" width="14.6640625" customWidth="1"/>
    <col min="19" max="19" width="9.33203125" customWidth="1"/>
  </cols>
  <sheetData>
    <row r="1" spans="1:20" ht="15.6" thickBot="1" x14ac:dyDescent="0.35">
      <c r="A1" s="1" t="s">
        <v>0</v>
      </c>
      <c r="B1" s="1" t="s">
        <v>1</v>
      </c>
      <c r="C1" s="2" t="s">
        <v>38</v>
      </c>
      <c r="D1" s="2" t="s">
        <v>2</v>
      </c>
      <c r="E1" s="2" t="s">
        <v>3</v>
      </c>
      <c r="F1" s="2" t="s">
        <v>37</v>
      </c>
      <c r="G1" s="2" t="s">
        <v>4</v>
      </c>
      <c r="H1" s="2" t="s">
        <v>36</v>
      </c>
      <c r="I1" s="2" t="s">
        <v>5</v>
      </c>
      <c r="J1" s="2" t="s">
        <v>6</v>
      </c>
      <c r="K1" s="2" t="s">
        <v>7</v>
      </c>
      <c r="L1" s="3" t="s">
        <v>8</v>
      </c>
      <c r="M1" s="2" t="s">
        <v>9</v>
      </c>
      <c r="N1" s="2" t="s">
        <v>10</v>
      </c>
      <c r="O1" s="4" t="s">
        <v>11</v>
      </c>
      <c r="P1" s="5" t="s">
        <v>12</v>
      </c>
      <c r="Q1" s="5" t="s">
        <v>18</v>
      </c>
      <c r="R1" s="2" t="s">
        <v>13</v>
      </c>
      <c r="S1" s="6" t="s">
        <v>20</v>
      </c>
      <c r="T1" s="6" t="s">
        <v>14</v>
      </c>
    </row>
    <row r="2" spans="1:20" ht="15" thickTop="1" x14ac:dyDescent="0.3">
      <c r="A2" s="7">
        <v>45748</v>
      </c>
      <c r="B2" s="7">
        <v>45749</v>
      </c>
      <c r="C2" t="s">
        <v>30</v>
      </c>
      <c r="D2" t="s">
        <v>287</v>
      </c>
      <c r="E2" t="s">
        <v>40</v>
      </c>
      <c r="F2">
        <v>424538646</v>
      </c>
      <c r="G2">
        <v>802479988</v>
      </c>
      <c r="H2">
        <v>43875</v>
      </c>
      <c r="I2">
        <v>44036</v>
      </c>
      <c r="J2">
        <f>Table13456789101112132345[[#This Row],[Offloading Litres]]-Table13456789101112132345[[#This Row],[LOADED LITRES]]</f>
        <v>161</v>
      </c>
      <c r="K2" t="s">
        <v>25</v>
      </c>
      <c r="L2">
        <v>75510758</v>
      </c>
      <c r="M2" t="s">
        <v>902</v>
      </c>
      <c r="N2">
        <v>0.75219999999999998</v>
      </c>
      <c r="O2" s="8">
        <f>Table13456789101112132345[[#This Row],[Offloading Litres]]*Table13456789101112132345[[#This Row],[Rate]]</f>
        <v>33123.879199999996</v>
      </c>
      <c r="P2" s="9" t="s">
        <v>862</v>
      </c>
      <c r="Q2" t="s">
        <v>1143</v>
      </c>
    </row>
    <row r="3" spans="1:20" x14ac:dyDescent="0.3">
      <c r="A3" s="7">
        <v>45748</v>
      </c>
      <c r="B3" s="7">
        <v>45750</v>
      </c>
      <c r="C3" t="s">
        <v>22</v>
      </c>
      <c r="D3" t="s">
        <v>860</v>
      </c>
      <c r="E3" t="s">
        <v>40</v>
      </c>
      <c r="F3">
        <v>424538430</v>
      </c>
      <c r="G3">
        <v>802480571</v>
      </c>
      <c r="H3">
        <v>43870</v>
      </c>
      <c r="I3">
        <v>43951</v>
      </c>
      <c r="J3">
        <f>Table13456789101112132345[[#This Row],[Offloading Litres]]-Table13456789101112132345[[#This Row],[LOADED LITRES]]</f>
        <v>81</v>
      </c>
      <c r="K3" t="s">
        <v>25</v>
      </c>
      <c r="L3">
        <v>75511372</v>
      </c>
      <c r="M3" t="s">
        <v>903</v>
      </c>
      <c r="N3">
        <v>0.75219999999999998</v>
      </c>
      <c r="O3" s="8">
        <f>Table13456789101112132345[[#This Row],[Offloading Litres]]*Table13456789101112132345[[#This Row],[Rate]]</f>
        <v>33059.942199999998</v>
      </c>
      <c r="P3" s="9" t="s">
        <v>864</v>
      </c>
      <c r="Q3" t="s">
        <v>1144</v>
      </c>
    </row>
    <row r="4" spans="1:20" x14ac:dyDescent="0.3">
      <c r="A4" s="7">
        <v>45748</v>
      </c>
      <c r="B4" s="7">
        <v>45749</v>
      </c>
      <c r="C4" t="s">
        <v>21</v>
      </c>
      <c r="D4" t="s">
        <v>27</v>
      </c>
      <c r="E4" t="s">
        <v>298</v>
      </c>
      <c r="F4">
        <v>424620020</v>
      </c>
      <c r="G4">
        <v>802480911</v>
      </c>
      <c r="H4">
        <v>39185</v>
      </c>
      <c r="I4">
        <v>39460</v>
      </c>
      <c r="J4">
        <f>Table13456789101112132345[[#This Row],[Offloading Litres]]-Table13456789101112132345[[#This Row],[LOADED LITRES]]</f>
        <v>275</v>
      </c>
      <c r="K4" t="s">
        <v>32</v>
      </c>
      <c r="L4">
        <v>75511650</v>
      </c>
      <c r="M4" t="s">
        <v>904</v>
      </c>
      <c r="N4">
        <v>0.76759999999999995</v>
      </c>
      <c r="O4" s="8">
        <f>Table13456789101112132345[[#This Row],[Offloading Litres]]*Table13456789101112132345[[#This Row],[Rate]]</f>
        <v>30289.495999999999</v>
      </c>
      <c r="P4" s="9" t="s">
        <v>861</v>
      </c>
      <c r="Q4" t="s">
        <v>1142</v>
      </c>
    </row>
    <row r="5" spans="1:20" x14ac:dyDescent="0.3">
      <c r="A5" s="7">
        <v>45748</v>
      </c>
      <c r="B5" s="7">
        <v>45751</v>
      </c>
      <c r="C5" t="s">
        <v>28</v>
      </c>
      <c r="D5" t="s">
        <v>19</v>
      </c>
      <c r="E5" t="s">
        <v>40</v>
      </c>
      <c r="F5">
        <v>424538030</v>
      </c>
      <c r="G5">
        <v>802483404</v>
      </c>
      <c r="H5">
        <v>39493</v>
      </c>
      <c r="I5">
        <v>39549</v>
      </c>
      <c r="J5">
        <f>Table13456789101112132345[[#This Row],[Offloading Litres]]-Table13456789101112132345[[#This Row],[LOADED LITRES]]</f>
        <v>56</v>
      </c>
      <c r="K5" t="s">
        <v>32</v>
      </c>
      <c r="L5">
        <v>75514118</v>
      </c>
      <c r="M5" t="s">
        <v>905</v>
      </c>
      <c r="N5">
        <v>0.75219999999999998</v>
      </c>
      <c r="O5" s="8">
        <f>Table13456789101112132345[[#This Row],[Offloading Litres]]*Table13456789101112132345[[#This Row],[Rate]]</f>
        <v>29748.757799999999</v>
      </c>
      <c r="P5" s="9" t="s">
        <v>866</v>
      </c>
      <c r="Q5" t="s">
        <v>1146</v>
      </c>
    </row>
    <row r="6" spans="1:20" x14ac:dyDescent="0.3">
      <c r="A6" s="7">
        <v>45749</v>
      </c>
      <c r="B6" s="7">
        <v>45750</v>
      </c>
      <c r="C6" t="s">
        <v>34</v>
      </c>
      <c r="D6" t="s">
        <v>33</v>
      </c>
      <c r="E6" t="s">
        <v>16</v>
      </c>
      <c r="F6">
        <v>424552017</v>
      </c>
      <c r="G6">
        <v>802483821</v>
      </c>
      <c r="H6">
        <v>38740</v>
      </c>
      <c r="I6">
        <v>38780</v>
      </c>
      <c r="J6">
        <f>Table13456789101112132345[[#This Row],[Offloading Litres]]-Table13456789101112132345[[#This Row],[LOADED LITRES]]</f>
        <v>40</v>
      </c>
      <c r="K6" t="s">
        <v>32</v>
      </c>
      <c r="L6">
        <v>75514515</v>
      </c>
      <c r="M6" t="s">
        <v>906</v>
      </c>
      <c r="N6">
        <v>0.6956</v>
      </c>
      <c r="O6" s="8">
        <f>Table13456789101112132345[[#This Row],[Offloading Litres]]*Table13456789101112132345[[#This Row],[Rate]]</f>
        <v>26975.367999999999</v>
      </c>
      <c r="P6" s="9" t="s">
        <v>863</v>
      </c>
      <c r="Q6" t="s">
        <v>1147</v>
      </c>
    </row>
    <row r="7" spans="1:20" x14ac:dyDescent="0.3">
      <c r="A7" s="7">
        <v>45749</v>
      </c>
      <c r="B7" s="7">
        <v>45750</v>
      </c>
      <c r="C7" t="s">
        <v>23</v>
      </c>
      <c r="D7" t="s">
        <v>286</v>
      </c>
      <c r="E7" t="s">
        <v>16</v>
      </c>
      <c r="F7">
        <v>424552022</v>
      </c>
      <c r="G7">
        <v>802486150</v>
      </c>
      <c r="H7">
        <v>38707</v>
      </c>
      <c r="I7">
        <v>38714</v>
      </c>
      <c r="J7">
        <f>Table13456789101112132345[[#This Row],[Offloading Litres]]-Table13456789101112132345[[#This Row],[LOADED LITRES]]</f>
        <v>7</v>
      </c>
      <c r="K7" t="s">
        <v>32</v>
      </c>
      <c r="L7">
        <v>75517047</v>
      </c>
      <c r="M7" t="s">
        <v>907</v>
      </c>
      <c r="N7">
        <v>0.6956</v>
      </c>
      <c r="O7" s="8">
        <f>Table13456789101112132345[[#This Row],[Offloading Litres]]*Table13456789101112132345[[#This Row],[Rate]]</f>
        <v>26929.4584</v>
      </c>
      <c r="P7" s="9" t="s">
        <v>865</v>
      </c>
      <c r="Q7" t="s">
        <v>1145</v>
      </c>
    </row>
    <row r="8" spans="1:20" x14ac:dyDescent="0.3">
      <c r="A8" s="7">
        <v>45751</v>
      </c>
      <c r="B8" s="7">
        <v>45753</v>
      </c>
      <c r="C8" t="s">
        <v>23</v>
      </c>
      <c r="D8" t="s">
        <v>286</v>
      </c>
      <c r="E8" t="s">
        <v>16</v>
      </c>
      <c r="F8">
        <v>424552090</v>
      </c>
      <c r="G8">
        <v>802492471</v>
      </c>
      <c r="H8">
        <v>38759</v>
      </c>
      <c r="I8">
        <v>38664</v>
      </c>
      <c r="J8">
        <f>Table13456789101112132345[[#This Row],[Offloading Litres]]-Table13456789101112132345[[#This Row],[LOADED LITRES]]</f>
        <v>-95</v>
      </c>
      <c r="K8" t="s">
        <v>32</v>
      </c>
      <c r="L8">
        <v>75524304</v>
      </c>
      <c r="M8" t="s">
        <v>908</v>
      </c>
      <c r="N8">
        <v>0.6956</v>
      </c>
      <c r="O8" s="8">
        <f>Table13456789101112132345[[#This Row],[Offloading Litres]]*Table13456789101112132345[[#This Row],[Rate]]</f>
        <v>26894.678400000001</v>
      </c>
      <c r="P8" s="9" t="s">
        <v>868</v>
      </c>
      <c r="Q8" t="s">
        <v>1153</v>
      </c>
    </row>
    <row r="9" spans="1:20" x14ac:dyDescent="0.3">
      <c r="A9" s="7">
        <v>45751</v>
      </c>
      <c r="B9" s="7">
        <v>45753</v>
      </c>
      <c r="C9" t="s">
        <v>22</v>
      </c>
      <c r="D9" t="s">
        <v>860</v>
      </c>
      <c r="E9" t="s">
        <v>16</v>
      </c>
      <c r="F9">
        <v>424552024</v>
      </c>
      <c r="G9">
        <v>802493403</v>
      </c>
      <c r="H9">
        <v>39755</v>
      </c>
      <c r="I9">
        <v>39691</v>
      </c>
      <c r="J9">
        <f>Table13456789101112132345[[#This Row],[Offloading Litres]]-Table13456789101112132345[[#This Row],[LOADED LITRES]]</f>
        <v>-64</v>
      </c>
      <c r="K9" t="s">
        <v>32</v>
      </c>
      <c r="L9">
        <v>75525141</v>
      </c>
      <c r="M9" t="s">
        <v>909</v>
      </c>
      <c r="N9">
        <v>0.6956</v>
      </c>
      <c r="O9" s="8">
        <f>Table13456789101112132345[[#This Row],[Offloading Litres]]*Table13456789101112132345[[#This Row],[Rate]]</f>
        <v>27609.059600000001</v>
      </c>
      <c r="P9" s="9" t="s">
        <v>869</v>
      </c>
      <c r="Q9" t="s">
        <v>1082</v>
      </c>
    </row>
    <row r="10" spans="1:20" x14ac:dyDescent="0.3">
      <c r="A10" s="7">
        <v>45751</v>
      </c>
      <c r="B10" s="7">
        <v>45752</v>
      </c>
      <c r="C10" t="s">
        <v>30</v>
      </c>
      <c r="D10" t="s">
        <v>287</v>
      </c>
      <c r="E10" t="s">
        <v>16</v>
      </c>
      <c r="F10">
        <v>424552023</v>
      </c>
      <c r="G10">
        <v>802493450</v>
      </c>
      <c r="H10">
        <v>38777</v>
      </c>
      <c r="I10">
        <v>38768</v>
      </c>
      <c r="J10">
        <f>Table13456789101112132345[[#This Row],[Offloading Litres]]-Table13456789101112132345[[#This Row],[LOADED LITRES]]</f>
        <v>-9</v>
      </c>
      <c r="K10" t="s">
        <v>32</v>
      </c>
      <c r="L10">
        <v>75525201</v>
      </c>
      <c r="M10" t="s">
        <v>910</v>
      </c>
      <c r="N10">
        <v>0.6956</v>
      </c>
      <c r="O10" s="8">
        <f>Table13456789101112132345[[#This Row],[Offloading Litres]]*Table13456789101112132345[[#This Row],[Rate]]</f>
        <v>26967.020799999998</v>
      </c>
      <c r="P10" s="9" t="s">
        <v>867</v>
      </c>
      <c r="Q10" t="s">
        <v>1154</v>
      </c>
    </row>
    <row r="11" spans="1:20" x14ac:dyDescent="0.3">
      <c r="A11" s="7">
        <v>45751</v>
      </c>
      <c r="B11" s="7">
        <v>45754</v>
      </c>
      <c r="C11" t="s">
        <v>34</v>
      </c>
      <c r="D11" t="s">
        <v>33</v>
      </c>
      <c r="E11" t="s">
        <v>16</v>
      </c>
      <c r="F11">
        <v>424552085</v>
      </c>
      <c r="G11">
        <v>802496830</v>
      </c>
      <c r="H11">
        <v>38861</v>
      </c>
      <c r="I11">
        <v>38819</v>
      </c>
      <c r="J11">
        <f>Table13456789101112132345[[#This Row],[Offloading Litres]]-Table13456789101112132345[[#This Row],[LOADED LITRES]]</f>
        <v>-42</v>
      </c>
      <c r="K11" t="s">
        <v>32</v>
      </c>
      <c r="L11">
        <v>75529812</v>
      </c>
      <c r="M11" t="s">
        <v>911</v>
      </c>
      <c r="N11">
        <v>0.6956</v>
      </c>
      <c r="O11" s="8">
        <f>Table13456789101112132345[[#This Row],[Offloading Litres]]*Table13456789101112132345[[#This Row],[Rate]]</f>
        <v>27002.4964</v>
      </c>
      <c r="P11" s="9" t="s">
        <v>871</v>
      </c>
      <c r="Q11" t="s">
        <v>1079</v>
      </c>
    </row>
    <row r="12" spans="1:20" x14ac:dyDescent="0.3">
      <c r="A12" s="7">
        <v>45752</v>
      </c>
      <c r="B12" s="7">
        <v>45753</v>
      </c>
      <c r="C12" t="s">
        <v>28</v>
      </c>
      <c r="D12" t="s">
        <v>19</v>
      </c>
      <c r="E12" t="s">
        <v>40</v>
      </c>
      <c r="F12">
        <v>424601408</v>
      </c>
      <c r="G12">
        <v>802497300</v>
      </c>
      <c r="H12">
        <v>44218</v>
      </c>
      <c r="I12">
        <v>44286</v>
      </c>
      <c r="J12">
        <f>Table13456789101112132345[[#This Row],[Offloading Litres]]-Table13456789101112132345[[#This Row],[LOADED LITRES]]</f>
        <v>68</v>
      </c>
      <c r="K12" t="s">
        <v>25</v>
      </c>
      <c r="L12">
        <v>75530323</v>
      </c>
      <c r="M12" t="s">
        <v>912</v>
      </c>
      <c r="N12">
        <v>0.75219999999999998</v>
      </c>
      <c r="O12" s="8">
        <f>Table13456789101112132345[[#This Row],[Offloading Litres]]*Table13456789101112132345[[#This Row],[Rate]]</f>
        <v>33311.929199999999</v>
      </c>
      <c r="P12" s="9" t="s">
        <v>900</v>
      </c>
      <c r="Q12" t="s">
        <v>1084</v>
      </c>
    </row>
    <row r="13" spans="1:20" x14ac:dyDescent="0.3">
      <c r="A13" s="7">
        <v>45752</v>
      </c>
      <c r="B13" s="7">
        <v>45753</v>
      </c>
      <c r="C13" t="s">
        <v>29</v>
      </c>
      <c r="D13" t="s">
        <v>35</v>
      </c>
      <c r="E13" t="s">
        <v>40</v>
      </c>
      <c r="F13">
        <v>424601409</v>
      </c>
      <c r="G13">
        <v>802497947</v>
      </c>
      <c r="H13">
        <v>43961</v>
      </c>
      <c r="I13">
        <v>44102</v>
      </c>
      <c r="J13">
        <f>Table13456789101112132345[[#This Row],[Offloading Litres]]-Table13456789101112132345[[#This Row],[LOADED LITRES]]</f>
        <v>141</v>
      </c>
      <c r="K13" t="s">
        <v>25</v>
      </c>
      <c r="L13">
        <v>75531020</v>
      </c>
      <c r="M13" t="s">
        <v>913</v>
      </c>
      <c r="N13">
        <v>0.75219999999999998</v>
      </c>
      <c r="O13" s="8">
        <f>Table13456789101112132345[[#This Row],[Offloading Litres]]*Table13456789101112132345[[#This Row],[Rate]]</f>
        <v>33173.524400000002</v>
      </c>
      <c r="P13" s="9" t="s">
        <v>901</v>
      </c>
      <c r="Q13" t="s">
        <v>1152</v>
      </c>
    </row>
    <row r="14" spans="1:20" x14ac:dyDescent="0.3">
      <c r="A14" s="7">
        <v>45752</v>
      </c>
      <c r="B14" s="7">
        <v>45754</v>
      </c>
      <c r="C14" t="s">
        <v>21</v>
      </c>
      <c r="D14" t="s">
        <v>27</v>
      </c>
      <c r="E14" t="s">
        <v>40</v>
      </c>
      <c r="F14">
        <v>424601403</v>
      </c>
      <c r="G14">
        <v>802498913</v>
      </c>
      <c r="H14">
        <v>44412</v>
      </c>
      <c r="I14">
        <v>44700</v>
      </c>
      <c r="J14">
        <f>Table13456789101112132345[[#This Row],[Offloading Litres]]-Table13456789101112132345[[#This Row],[LOADED LITRES]]</f>
        <v>288</v>
      </c>
      <c r="K14" t="s">
        <v>25</v>
      </c>
      <c r="L14">
        <v>75532095</v>
      </c>
      <c r="M14" t="s">
        <v>914</v>
      </c>
      <c r="N14">
        <v>0.75219999999999998</v>
      </c>
      <c r="O14" s="8">
        <f>Table13456789101112132345[[#This Row],[Offloading Litres]]*Table13456789101112132345[[#This Row],[Rate]]</f>
        <v>33623.339999999997</v>
      </c>
      <c r="P14" s="9" t="s">
        <v>870</v>
      </c>
      <c r="Q14" t="s">
        <v>1081</v>
      </c>
    </row>
    <row r="15" spans="1:20" x14ac:dyDescent="0.3">
      <c r="A15" s="7">
        <v>45753</v>
      </c>
      <c r="B15" s="7">
        <v>45754</v>
      </c>
      <c r="C15" t="s">
        <v>30</v>
      </c>
      <c r="D15" t="s">
        <v>287</v>
      </c>
      <c r="E15" t="s">
        <v>16</v>
      </c>
      <c r="F15">
        <v>424552032</v>
      </c>
      <c r="G15">
        <v>802500109</v>
      </c>
      <c r="H15">
        <v>38681</v>
      </c>
      <c r="I15">
        <v>38702</v>
      </c>
      <c r="J15">
        <f>Table13456789101112132345[[#This Row],[Offloading Litres]]-Table13456789101112132345[[#This Row],[LOADED LITRES]]</f>
        <v>21</v>
      </c>
      <c r="K15" t="s">
        <v>32</v>
      </c>
      <c r="L15">
        <v>75533255</v>
      </c>
      <c r="M15" t="s">
        <v>915</v>
      </c>
      <c r="N15">
        <v>0.6956</v>
      </c>
      <c r="O15" s="8">
        <f>Table13456789101112132345[[#This Row],[Offloading Litres]]*Table13456789101112132345[[#This Row],[Rate]]</f>
        <v>26921.111199999999</v>
      </c>
      <c r="P15" s="9" t="s">
        <v>873</v>
      </c>
      <c r="Q15" t="s">
        <v>1080</v>
      </c>
    </row>
    <row r="16" spans="1:20" s="12" customFormat="1" x14ac:dyDescent="0.3">
      <c r="A16" s="11">
        <v>45754</v>
      </c>
      <c r="B16" s="11">
        <v>45755</v>
      </c>
      <c r="C16" s="12" t="s">
        <v>22</v>
      </c>
      <c r="D16" s="12" t="s">
        <v>26</v>
      </c>
      <c r="E16" s="12" t="s">
        <v>16</v>
      </c>
      <c r="F16" s="12">
        <v>424552033</v>
      </c>
      <c r="G16" s="12">
        <v>802500677</v>
      </c>
      <c r="H16" s="12">
        <v>39758</v>
      </c>
      <c r="I16" s="12">
        <v>39782</v>
      </c>
      <c r="J16" s="12">
        <f>Table13456789101112132345[[#This Row],[Offloading Litres]]-Table13456789101112132345[[#This Row],[LOADED LITRES]]</f>
        <v>24</v>
      </c>
      <c r="K16" s="12" t="s">
        <v>32</v>
      </c>
      <c r="L16" s="12">
        <v>75533964</v>
      </c>
      <c r="M16" s="12" t="s">
        <v>916</v>
      </c>
      <c r="N16" s="12">
        <v>0.6956</v>
      </c>
      <c r="O16" s="13">
        <f>Table13456789101112132345[[#This Row],[Offloading Litres]]*Table13456789101112132345[[#This Row],[Rate]]</f>
        <v>27672.359199999999</v>
      </c>
      <c r="P16" s="14" t="s">
        <v>872</v>
      </c>
      <c r="Q16" s="12" t="s">
        <v>1078</v>
      </c>
    </row>
    <row r="17" spans="1:17" x14ac:dyDescent="0.3">
      <c r="A17" s="7">
        <v>45754</v>
      </c>
      <c r="B17" s="7">
        <v>45755</v>
      </c>
      <c r="C17" t="s">
        <v>29</v>
      </c>
      <c r="D17" t="s">
        <v>35</v>
      </c>
      <c r="E17" t="s">
        <v>16</v>
      </c>
      <c r="F17">
        <v>424552035</v>
      </c>
      <c r="G17">
        <v>802504049</v>
      </c>
      <c r="H17">
        <v>39549</v>
      </c>
      <c r="I17">
        <v>39653</v>
      </c>
      <c r="J17">
        <f>Table13456789101112132345[[#This Row],[Offloading Litres]]-Table13456789101112132345[[#This Row],[LOADED LITRES]]</f>
        <v>104</v>
      </c>
      <c r="K17" t="s">
        <v>32</v>
      </c>
      <c r="L17">
        <v>75538025</v>
      </c>
      <c r="M17" t="s">
        <v>917</v>
      </c>
      <c r="N17">
        <v>0.6956</v>
      </c>
      <c r="O17" s="8">
        <f>Table13456789101112132345[[#This Row],[Offloading Litres]]*Table13456789101112132345[[#This Row],[Rate]]</f>
        <v>27582.626799999998</v>
      </c>
      <c r="P17" s="9" t="s">
        <v>898</v>
      </c>
      <c r="Q17" t="s">
        <v>1095</v>
      </c>
    </row>
    <row r="18" spans="1:17" x14ac:dyDescent="0.3">
      <c r="A18" s="7">
        <v>45754</v>
      </c>
      <c r="B18" s="7">
        <v>45755</v>
      </c>
      <c r="C18" t="s">
        <v>23</v>
      </c>
      <c r="D18" t="s">
        <v>286</v>
      </c>
      <c r="E18" t="s">
        <v>16</v>
      </c>
      <c r="F18">
        <v>424552091</v>
      </c>
      <c r="G18">
        <v>802504147</v>
      </c>
      <c r="H18">
        <v>38706</v>
      </c>
      <c r="I18">
        <v>38804</v>
      </c>
      <c r="J18">
        <f>Table13456789101112132345[[#This Row],[Offloading Litres]]-Table13456789101112132345[[#This Row],[LOADED LITRES]]</f>
        <v>98</v>
      </c>
      <c r="K18" t="s">
        <v>32</v>
      </c>
      <c r="L18">
        <v>75538096</v>
      </c>
      <c r="M18" t="s">
        <v>918</v>
      </c>
      <c r="N18">
        <v>0.6956</v>
      </c>
      <c r="O18" s="8">
        <f>Table13456789101112132345[[#This Row],[Offloading Litres]]*Table13456789101112132345[[#This Row],[Rate]]</f>
        <v>26992.062399999999</v>
      </c>
      <c r="P18" s="9" t="s">
        <v>874</v>
      </c>
      <c r="Q18" t="s">
        <v>1077</v>
      </c>
    </row>
    <row r="19" spans="1:17" x14ac:dyDescent="0.3">
      <c r="A19" s="7">
        <v>45755</v>
      </c>
      <c r="B19" s="7">
        <v>45756</v>
      </c>
      <c r="C19" t="s">
        <v>34</v>
      </c>
      <c r="D19" t="s">
        <v>33</v>
      </c>
      <c r="E19" t="s">
        <v>16</v>
      </c>
      <c r="F19">
        <v>424552080</v>
      </c>
      <c r="G19">
        <v>802506332</v>
      </c>
      <c r="H19">
        <v>38708</v>
      </c>
      <c r="I19">
        <v>38796</v>
      </c>
      <c r="J19">
        <f>Table13456789101112132345[[#This Row],[Offloading Litres]]-Table13456789101112132345[[#This Row],[LOADED LITRES]]</f>
        <v>88</v>
      </c>
      <c r="K19" t="s">
        <v>32</v>
      </c>
      <c r="L19">
        <v>75540290</v>
      </c>
      <c r="M19" t="s">
        <v>919</v>
      </c>
      <c r="N19">
        <v>0.6956</v>
      </c>
      <c r="O19" s="8">
        <f>Table13456789101112132345[[#This Row],[Offloading Litres]]*Table13456789101112132345[[#This Row],[Rate]]</f>
        <v>26986.497599999999</v>
      </c>
      <c r="P19" s="9" t="s">
        <v>877</v>
      </c>
      <c r="Q19" t="s">
        <v>1092</v>
      </c>
    </row>
    <row r="20" spans="1:17" x14ac:dyDescent="0.3">
      <c r="A20" s="7">
        <v>45755</v>
      </c>
      <c r="B20" s="7">
        <v>45756</v>
      </c>
      <c r="C20" t="s">
        <v>21</v>
      </c>
      <c r="D20" t="s">
        <v>27</v>
      </c>
      <c r="E20" t="s">
        <v>40</v>
      </c>
      <c r="F20">
        <v>424863553</v>
      </c>
      <c r="G20">
        <v>802506773</v>
      </c>
      <c r="H20">
        <v>44325</v>
      </c>
      <c r="I20">
        <v>44592</v>
      </c>
      <c r="J20">
        <f>Table13456789101112132345[[#This Row],[Offloading Litres]]-Table13456789101112132345[[#This Row],[LOADED LITRES]]</f>
        <v>267</v>
      </c>
      <c r="K20" t="s">
        <v>25</v>
      </c>
      <c r="L20">
        <v>75540914</v>
      </c>
      <c r="M20" t="s">
        <v>920</v>
      </c>
      <c r="N20">
        <v>0.75219999999999998</v>
      </c>
      <c r="O20" s="8">
        <f>Table13456789101112132345[[#This Row],[Offloading Litres]]*Table13456789101112132345[[#This Row],[Rate]]</f>
        <v>33542.102399999996</v>
      </c>
      <c r="P20" s="9" t="s">
        <v>875</v>
      </c>
      <c r="Q20" t="s">
        <v>1093</v>
      </c>
    </row>
    <row r="21" spans="1:17" x14ac:dyDescent="0.3">
      <c r="A21" s="7">
        <v>45755</v>
      </c>
      <c r="B21" s="7">
        <v>45756</v>
      </c>
      <c r="C21" t="s">
        <v>28</v>
      </c>
      <c r="D21" t="s">
        <v>19</v>
      </c>
      <c r="E21" t="s">
        <v>16</v>
      </c>
      <c r="F21">
        <v>424865970</v>
      </c>
      <c r="G21">
        <v>802506732</v>
      </c>
      <c r="H21">
        <v>39443</v>
      </c>
      <c r="I21">
        <v>39554</v>
      </c>
      <c r="J21">
        <f>Table13456789101112132345[[#This Row],[Offloading Litres]]-Table13456789101112132345[[#This Row],[LOADED LITRES]]</f>
        <v>111</v>
      </c>
      <c r="K21" t="s">
        <v>32</v>
      </c>
      <c r="L21">
        <v>75540813</v>
      </c>
      <c r="M21" t="s">
        <v>921</v>
      </c>
      <c r="N21">
        <v>0.6956</v>
      </c>
      <c r="O21" s="8">
        <f>Table13456789101112132345[[#This Row],[Offloading Litres]]*Table13456789101112132345[[#This Row],[Rate]]</f>
        <v>27513.7624</v>
      </c>
      <c r="P21" s="9" t="s">
        <v>897</v>
      </c>
      <c r="Q21" t="s">
        <v>1094</v>
      </c>
    </row>
    <row r="22" spans="1:17" x14ac:dyDescent="0.3">
      <c r="A22" s="7">
        <v>45755</v>
      </c>
      <c r="B22" s="7">
        <v>45756</v>
      </c>
      <c r="C22" t="s">
        <v>30</v>
      </c>
      <c r="D22" t="s">
        <v>287</v>
      </c>
      <c r="E22" t="s">
        <v>40</v>
      </c>
      <c r="F22">
        <v>424863587</v>
      </c>
      <c r="G22">
        <v>802507902</v>
      </c>
      <c r="H22">
        <v>43795</v>
      </c>
      <c r="I22">
        <v>44048</v>
      </c>
      <c r="J22">
        <f>Table13456789101112132345[[#This Row],[Offloading Litres]]-Table13456789101112132345[[#This Row],[LOADED LITRES]]</f>
        <v>253</v>
      </c>
      <c r="K22" t="s">
        <v>25</v>
      </c>
      <c r="L22">
        <v>75541943</v>
      </c>
      <c r="M22" t="s">
        <v>922</v>
      </c>
      <c r="N22">
        <v>0.75219999999999998</v>
      </c>
      <c r="O22" s="8">
        <f>Table13456789101112132345[[#This Row],[Offloading Litres]]*Table13456789101112132345[[#This Row],[Rate]]</f>
        <v>33132.905599999998</v>
      </c>
      <c r="P22" s="9" t="s">
        <v>876</v>
      </c>
      <c r="Q22" t="s">
        <v>1087</v>
      </c>
    </row>
    <row r="23" spans="1:17" x14ac:dyDescent="0.3">
      <c r="A23" s="7">
        <v>45756</v>
      </c>
      <c r="B23" s="7">
        <v>45757</v>
      </c>
      <c r="C23" t="s">
        <v>22</v>
      </c>
      <c r="D23" t="s">
        <v>26</v>
      </c>
      <c r="E23" t="s">
        <v>40</v>
      </c>
      <c r="F23">
        <v>424863590</v>
      </c>
      <c r="G23">
        <v>802511035</v>
      </c>
      <c r="H23">
        <v>43917</v>
      </c>
      <c r="I23">
        <v>43941</v>
      </c>
      <c r="J23">
        <f>Table13456789101112132345[[#This Row],[Offloading Litres]]-Table13456789101112132345[[#This Row],[LOADED LITRES]]</f>
        <v>24</v>
      </c>
      <c r="K23" t="s">
        <v>25</v>
      </c>
      <c r="L23">
        <v>75544413</v>
      </c>
      <c r="M23" t="s">
        <v>923</v>
      </c>
      <c r="N23">
        <v>0.75219999999999998</v>
      </c>
      <c r="O23" s="8">
        <f>Table13456789101112132345[[#This Row],[Offloading Litres]]*Table13456789101112132345[[#This Row],[Rate]]</f>
        <v>33052.4202</v>
      </c>
      <c r="P23" s="9" t="s">
        <v>878</v>
      </c>
      <c r="Q23" t="s">
        <v>1091</v>
      </c>
    </row>
    <row r="24" spans="1:17" x14ac:dyDescent="0.3">
      <c r="A24" s="7">
        <v>45757</v>
      </c>
      <c r="B24" s="7">
        <v>45393</v>
      </c>
      <c r="C24" t="s">
        <v>34</v>
      </c>
      <c r="D24" t="s">
        <v>624</v>
      </c>
      <c r="E24" t="s">
        <v>617</v>
      </c>
      <c r="F24">
        <v>424881105</v>
      </c>
      <c r="G24">
        <v>802518962</v>
      </c>
      <c r="H24">
        <v>38778</v>
      </c>
      <c r="I24">
        <v>38909</v>
      </c>
      <c r="J24">
        <f>Table13456789101112132345[[#This Row],[Offloading Litres]]-Table13456789101112132345[[#This Row],[LOADED LITRES]]</f>
        <v>131</v>
      </c>
      <c r="K24" t="s">
        <v>32</v>
      </c>
      <c r="L24">
        <v>75552824</v>
      </c>
      <c r="M24" t="s">
        <v>924</v>
      </c>
      <c r="N24">
        <v>0.69499999999999995</v>
      </c>
      <c r="O24" s="8">
        <f>Table13456789101112132345[[#This Row],[Offloading Litres]]*Table13456789101112132345[[#This Row],[Rate]]</f>
        <v>27041.754999999997</v>
      </c>
      <c r="P24" s="9" t="s">
        <v>879</v>
      </c>
      <c r="Q24" t="s">
        <v>1089</v>
      </c>
    </row>
    <row r="25" spans="1:17" x14ac:dyDescent="0.3">
      <c r="A25" s="7">
        <v>45757</v>
      </c>
      <c r="B25" s="7">
        <v>45758</v>
      </c>
      <c r="C25" t="s">
        <v>29</v>
      </c>
      <c r="D25" t="s">
        <v>35</v>
      </c>
      <c r="E25" t="s">
        <v>617</v>
      </c>
      <c r="F25">
        <v>424881099</v>
      </c>
      <c r="G25">
        <v>802518997</v>
      </c>
      <c r="H25">
        <v>39564</v>
      </c>
      <c r="I25">
        <v>39725</v>
      </c>
      <c r="J25">
        <f>Table13456789101112132345[[#This Row],[Offloading Litres]]-Table13456789101112132345[[#This Row],[LOADED LITRES]]</f>
        <v>161</v>
      </c>
      <c r="K25" t="s">
        <v>32</v>
      </c>
      <c r="L25">
        <v>75552900</v>
      </c>
      <c r="M25" t="s">
        <v>925</v>
      </c>
      <c r="N25">
        <v>0.69499999999999995</v>
      </c>
      <c r="O25" s="8">
        <f>Table13456789101112132345[[#This Row],[Offloading Litres]]*Table13456789101112132345[[#This Row],[Rate]]</f>
        <v>27608.874999999996</v>
      </c>
      <c r="P25" s="9" t="s">
        <v>899</v>
      </c>
      <c r="Q25" t="s">
        <v>1083</v>
      </c>
    </row>
    <row r="26" spans="1:17" x14ac:dyDescent="0.3">
      <c r="A26" s="7">
        <v>45757</v>
      </c>
      <c r="B26" s="7">
        <v>45758</v>
      </c>
      <c r="C26" t="s">
        <v>30</v>
      </c>
      <c r="D26" t="s">
        <v>287</v>
      </c>
      <c r="E26" t="s">
        <v>16</v>
      </c>
      <c r="F26">
        <v>424866183</v>
      </c>
      <c r="G26">
        <v>802519013</v>
      </c>
      <c r="H26">
        <v>38780</v>
      </c>
      <c r="I26">
        <v>38917</v>
      </c>
      <c r="J26">
        <f>Table13456789101112132345[[#This Row],[Offloading Litres]]-Table13456789101112132345[[#This Row],[LOADED LITRES]]</f>
        <v>137</v>
      </c>
      <c r="K26" t="s">
        <v>32</v>
      </c>
      <c r="L26">
        <v>75552915</v>
      </c>
      <c r="M26" t="s">
        <v>926</v>
      </c>
      <c r="N26">
        <v>0.6956</v>
      </c>
      <c r="O26" s="8">
        <f>Table13456789101112132345[[#This Row],[Offloading Litres]]*Table13456789101112132345[[#This Row],[Rate]]</f>
        <v>27070.665199999999</v>
      </c>
      <c r="P26" s="9" t="s">
        <v>882</v>
      </c>
      <c r="Q26" t="s">
        <v>1088</v>
      </c>
    </row>
    <row r="27" spans="1:17" x14ac:dyDescent="0.3">
      <c r="A27" s="7">
        <v>45757</v>
      </c>
      <c r="B27" s="7">
        <v>45758</v>
      </c>
      <c r="C27" t="s">
        <v>21</v>
      </c>
      <c r="D27" t="s">
        <v>27</v>
      </c>
      <c r="E27" t="s">
        <v>617</v>
      </c>
      <c r="F27">
        <v>424881087</v>
      </c>
      <c r="G27">
        <v>802519006</v>
      </c>
      <c r="H27">
        <v>39280</v>
      </c>
      <c r="I27">
        <v>39593</v>
      </c>
      <c r="J27">
        <f>Table13456789101112132345[[#This Row],[Offloading Litres]]-Table13456789101112132345[[#This Row],[LOADED LITRES]]</f>
        <v>313</v>
      </c>
      <c r="K27" t="s">
        <v>32</v>
      </c>
      <c r="L27">
        <v>75552908</v>
      </c>
      <c r="M27" t="s">
        <v>927</v>
      </c>
      <c r="N27">
        <v>0.69499999999999995</v>
      </c>
      <c r="O27" s="8">
        <f>Table13456789101112132345[[#This Row],[Offloading Litres]]*Table13456789101112132345[[#This Row],[Rate]]</f>
        <v>27517.134999999998</v>
      </c>
      <c r="P27" s="9" t="s">
        <v>881</v>
      </c>
      <c r="Q27" t="s">
        <v>1101</v>
      </c>
    </row>
    <row r="28" spans="1:17" s="12" customFormat="1" x14ac:dyDescent="0.3">
      <c r="A28" s="11">
        <v>45757</v>
      </c>
      <c r="B28" s="11">
        <v>45759</v>
      </c>
      <c r="C28" s="12" t="s">
        <v>22</v>
      </c>
      <c r="D28" s="12" t="s">
        <v>26</v>
      </c>
      <c r="E28" s="12" t="s">
        <v>16</v>
      </c>
      <c r="F28" s="12">
        <v>424866246</v>
      </c>
      <c r="G28" s="12">
        <v>802519262</v>
      </c>
      <c r="H28" s="12">
        <v>39761</v>
      </c>
      <c r="I28" s="12">
        <v>39745</v>
      </c>
      <c r="J28" s="12">
        <f>Table13456789101112132345[[#This Row],[Offloading Litres]]-Table13456789101112132345[[#This Row],[LOADED LITRES]]</f>
        <v>-16</v>
      </c>
      <c r="K28" s="12" t="s">
        <v>32</v>
      </c>
      <c r="L28" s="12">
        <v>75553172</v>
      </c>
      <c r="M28" s="12" t="s">
        <v>928</v>
      </c>
      <c r="N28" s="12">
        <v>0.6956</v>
      </c>
      <c r="O28" s="13">
        <f>Table13456789101112132345[[#This Row],[Offloading Litres]]*Table13456789101112132345[[#This Row],[Rate]]</f>
        <v>27646.621999999999</v>
      </c>
      <c r="P28" s="14" t="s">
        <v>884</v>
      </c>
      <c r="Q28" s="12" t="s">
        <v>1086</v>
      </c>
    </row>
    <row r="29" spans="1:17" x14ac:dyDescent="0.3">
      <c r="A29" s="7">
        <v>45758</v>
      </c>
      <c r="B29" s="7">
        <v>45759</v>
      </c>
      <c r="C29" t="s">
        <v>28</v>
      </c>
      <c r="D29" t="s">
        <v>33</v>
      </c>
      <c r="E29" t="s">
        <v>617</v>
      </c>
      <c r="F29">
        <v>424881100</v>
      </c>
      <c r="G29">
        <v>802521071</v>
      </c>
      <c r="H29">
        <v>39561</v>
      </c>
      <c r="I29">
        <v>39567</v>
      </c>
      <c r="J29">
        <f>Table13456789101112132345[[#This Row],[Offloading Litres]]-Table13456789101112132345[[#This Row],[LOADED LITRES]]</f>
        <v>6</v>
      </c>
      <c r="K29" t="s">
        <v>32</v>
      </c>
      <c r="L29">
        <v>75555184</v>
      </c>
      <c r="M29" t="s">
        <v>929</v>
      </c>
      <c r="N29">
        <v>0.69499999999999995</v>
      </c>
      <c r="O29" s="8">
        <f>Table13456789101112132345[[#This Row],[Offloading Litres]]*Table13456789101112132345[[#This Row],[Rate]]</f>
        <v>27499.064999999999</v>
      </c>
      <c r="P29" s="9" t="s">
        <v>883</v>
      </c>
      <c r="Q29" t="s">
        <v>1099</v>
      </c>
    </row>
    <row r="30" spans="1:17" x14ac:dyDescent="0.3">
      <c r="A30" s="7">
        <v>45756</v>
      </c>
      <c r="B30" s="7">
        <v>45757</v>
      </c>
      <c r="C30" t="s">
        <v>23</v>
      </c>
      <c r="D30" t="s">
        <v>15</v>
      </c>
      <c r="E30" t="s">
        <v>617</v>
      </c>
      <c r="F30">
        <v>424881095</v>
      </c>
      <c r="G30">
        <v>802514304</v>
      </c>
      <c r="H30">
        <v>38763</v>
      </c>
      <c r="I30">
        <v>38876</v>
      </c>
      <c r="J30">
        <f>Table13456789101112132345[[#This Row],[Offloading Litres]]-Table13456789101112132345[[#This Row],[LOADED LITRES]]</f>
        <v>113</v>
      </c>
      <c r="K30" t="s">
        <v>32</v>
      </c>
      <c r="L30">
        <v>75547886</v>
      </c>
      <c r="M30" t="s">
        <v>930</v>
      </c>
      <c r="N30">
        <v>0.69499999999999995</v>
      </c>
      <c r="O30" s="8">
        <f>Table13456789101112132345[[#This Row],[Offloading Litres]]*Table13456789101112132345[[#This Row],[Rate]]</f>
        <v>27018.82</v>
      </c>
      <c r="P30" s="9" t="s">
        <v>880</v>
      </c>
      <c r="Q30" t="s">
        <v>1090</v>
      </c>
    </row>
    <row r="31" spans="1:17" x14ac:dyDescent="0.3">
      <c r="A31" s="7">
        <v>45758</v>
      </c>
      <c r="B31" s="7">
        <v>45759</v>
      </c>
      <c r="C31" t="s">
        <v>23</v>
      </c>
      <c r="D31" t="s">
        <v>15</v>
      </c>
      <c r="E31" t="s">
        <v>617</v>
      </c>
      <c r="F31">
        <v>424881107</v>
      </c>
      <c r="G31">
        <v>802523493</v>
      </c>
      <c r="H31">
        <v>38764</v>
      </c>
      <c r="I31">
        <v>38882</v>
      </c>
      <c r="J31">
        <f>Table13456789101112132345[[#This Row],[Offloading Litres]]-Table13456789101112132345[[#This Row],[LOADED LITRES]]</f>
        <v>118</v>
      </c>
      <c r="K31" t="s">
        <v>32</v>
      </c>
      <c r="L31">
        <v>75557997</v>
      </c>
      <c r="M31" t="s">
        <v>994</v>
      </c>
      <c r="N31">
        <v>0.69499999999999995</v>
      </c>
      <c r="O31" s="8">
        <f>Table13456789101112132345[[#This Row],[Offloading Litres]]*Table13456789101112132345[[#This Row],[Rate]]</f>
        <v>27022.989999999998</v>
      </c>
      <c r="P31" s="9" t="s">
        <v>885</v>
      </c>
      <c r="Q31" t="s">
        <v>1100</v>
      </c>
    </row>
    <row r="32" spans="1:17" x14ac:dyDescent="0.3">
      <c r="A32" s="7">
        <v>45759</v>
      </c>
      <c r="B32" s="7">
        <v>45761</v>
      </c>
      <c r="C32" t="s">
        <v>29</v>
      </c>
      <c r="D32" t="s">
        <v>24</v>
      </c>
      <c r="E32" t="s">
        <v>40</v>
      </c>
      <c r="F32">
        <v>424975041</v>
      </c>
      <c r="G32">
        <v>802525557</v>
      </c>
      <c r="H32">
        <v>43692</v>
      </c>
      <c r="I32">
        <v>43998</v>
      </c>
      <c r="J32">
        <f>Table13456789101112132345[[#This Row],[Offloading Litres]]-Table13456789101112132345[[#This Row],[LOADED LITRES]]</f>
        <v>306</v>
      </c>
      <c r="K32" t="s">
        <v>25</v>
      </c>
      <c r="L32">
        <v>75560514</v>
      </c>
      <c r="M32" t="s">
        <v>931</v>
      </c>
      <c r="N32">
        <v>0.75219999999999998</v>
      </c>
      <c r="O32" s="8">
        <f>Table13456789101112132345[[#This Row],[Offloading Litres]]*Table13456789101112132345[[#This Row],[Rate]]</f>
        <v>33095.295599999998</v>
      </c>
      <c r="P32" s="9" t="s">
        <v>889</v>
      </c>
      <c r="Q32" t="s">
        <v>1096</v>
      </c>
    </row>
    <row r="33" spans="1:17" x14ac:dyDescent="0.3">
      <c r="A33" s="7">
        <v>45759</v>
      </c>
      <c r="B33" s="7">
        <v>45761</v>
      </c>
      <c r="C33" t="s">
        <v>30</v>
      </c>
      <c r="D33" t="s">
        <v>35</v>
      </c>
      <c r="E33" t="s">
        <v>40</v>
      </c>
      <c r="F33">
        <v>424975039</v>
      </c>
      <c r="G33">
        <v>802525786</v>
      </c>
      <c r="H33">
        <v>43808</v>
      </c>
      <c r="I33">
        <v>44097</v>
      </c>
      <c r="J33">
        <f>Table13456789101112132345[[#This Row],[Offloading Litres]]-Table13456789101112132345[[#This Row],[LOADED LITRES]]</f>
        <v>289</v>
      </c>
      <c r="K33" t="s">
        <v>25</v>
      </c>
      <c r="L33">
        <v>75560736</v>
      </c>
      <c r="M33" t="s">
        <v>932</v>
      </c>
      <c r="N33">
        <v>0.75219999999999998</v>
      </c>
      <c r="O33" s="8">
        <f>Table13456789101112132345[[#This Row],[Offloading Litres]]*Table13456789101112132345[[#This Row],[Rate]]</f>
        <v>33169.763399999996</v>
      </c>
      <c r="P33" s="9" t="s">
        <v>888</v>
      </c>
      <c r="Q33" t="s">
        <v>1114</v>
      </c>
    </row>
    <row r="34" spans="1:17" x14ac:dyDescent="0.3">
      <c r="A34" s="7">
        <v>45759</v>
      </c>
      <c r="B34" s="7">
        <v>45761</v>
      </c>
      <c r="C34" t="s">
        <v>21</v>
      </c>
      <c r="D34" t="s">
        <v>27</v>
      </c>
      <c r="E34" t="s">
        <v>617</v>
      </c>
      <c r="F34">
        <v>424881120</v>
      </c>
      <c r="G34">
        <v>802526067</v>
      </c>
      <c r="H34">
        <v>39236</v>
      </c>
      <c r="I34">
        <v>39461</v>
      </c>
      <c r="J34">
        <f>Table13456789101112132345[[#This Row],[Offloading Litres]]-Table13456789101112132345[[#This Row],[LOADED LITRES]]</f>
        <v>225</v>
      </c>
      <c r="K34" t="s">
        <v>32</v>
      </c>
      <c r="L34">
        <v>75561035</v>
      </c>
      <c r="M34" t="s">
        <v>933</v>
      </c>
      <c r="N34">
        <v>0.69499999999999995</v>
      </c>
      <c r="O34" s="8">
        <f>Table13456789101112132345[[#This Row],[Offloading Litres]]*Table13456789101112132345[[#This Row],[Rate]]</f>
        <v>27425.394999999997</v>
      </c>
      <c r="P34" s="9" t="s">
        <v>895</v>
      </c>
      <c r="Q34" t="s">
        <v>1097</v>
      </c>
    </row>
    <row r="35" spans="1:17" x14ac:dyDescent="0.3">
      <c r="A35" s="7">
        <v>45759</v>
      </c>
      <c r="B35" s="7">
        <v>45760</v>
      </c>
      <c r="C35" t="s">
        <v>34</v>
      </c>
      <c r="D35" t="s">
        <v>287</v>
      </c>
      <c r="E35" t="s">
        <v>617</v>
      </c>
      <c r="F35">
        <v>424881113</v>
      </c>
      <c r="G35">
        <v>802525808</v>
      </c>
      <c r="H35">
        <v>38699</v>
      </c>
      <c r="I35">
        <v>38787</v>
      </c>
      <c r="J35">
        <f>Table13456789101112132345[[#This Row],[Offloading Litres]]-Table13456789101112132345[[#This Row],[LOADED LITRES]]</f>
        <v>88</v>
      </c>
      <c r="K35" t="s">
        <v>32</v>
      </c>
      <c r="L35">
        <v>75560778</v>
      </c>
      <c r="M35" t="s">
        <v>934</v>
      </c>
      <c r="N35">
        <v>0.69499999999999995</v>
      </c>
      <c r="O35" s="8">
        <f>Table13456789101112132345[[#This Row],[Offloading Litres]]*Table13456789101112132345[[#This Row],[Rate]]</f>
        <v>26956.964999999997</v>
      </c>
      <c r="P35" s="9" t="s">
        <v>886</v>
      </c>
      <c r="Q35" t="s">
        <v>1098</v>
      </c>
    </row>
    <row r="36" spans="1:17" x14ac:dyDescent="0.3">
      <c r="A36" s="7">
        <v>45759</v>
      </c>
      <c r="B36" s="7">
        <v>45760</v>
      </c>
      <c r="C36" t="s">
        <v>17</v>
      </c>
      <c r="D36" t="s">
        <v>624</v>
      </c>
      <c r="E36" t="s">
        <v>617</v>
      </c>
      <c r="F36">
        <v>424881118</v>
      </c>
      <c r="G36">
        <v>802525743</v>
      </c>
      <c r="H36">
        <v>38679</v>
      </c>
      <c r="I36">
        <v>38729</v>
      </c>
      <c r="J36">
        <f>Table13456789101112132345[[#This Row],[Offloading Litres]]-Table13456789101112132345[[#This Row],[LOADED LITRES]]</f>
        <v>50</v>
      </c>
      <c r="K36" t="s">
        <v>32</v>
      </c>
      <c r="L36">
        <v>75560701</v>
      </c>
      <c r="M36" t="s">
        <v>935</v>
      </c>
      <c r="N36">
        <v>0.69499999999999995</v>
      </c>
      <c r="O36" s="8">
        <f>Table13456789101112132345[[#This Row],[Offloading Litres]]*Table13456789101112132345[[#This Row],[Rate]]</f>
        <v>26916.654999999999</v>
      </c>
      <c r="P36" s="9" t="s">
        <v>887</v>
      </c>
      <c r="Q36" t="s">
        <v>1085</v>
      </c>
    </row>
    <row r="37" spans="1:17" x14ac:dyDescent="0.3">
      <c r="A37" s="7">
        <v>45759</v>
      </c>
      <c r="B37" s="7">
        <v>45761</v>
      </c>
      <c r="C37" t="s">
        <v>22</v>
      </c>
      <c r="D37" t="s">
        <v>26</v>
      </c>
      <c r="E37" t="s">
        <v>40</v>
      </c>
      <c r="F37">
        <v>424975196</v>
      </c>
      <c r="G37">
        <v>802526233</v>
      </c>
      <c r="H37">
        <v>43958</v>
      </c>
      <c r="I37">
        <v>44220</v>
      </c>
      <c r="J37">
        <f>Table13456789101112132345[[#This Row],[Offloading Litres]]-Table13456789101112132345[[#This Row],[LOADED LITRES]]</f>
        <v>262</v>
      </c>
      <c r="K37" t="s">
        <v>25</v>
      </c>
      <c r="L37">
        <v>75561218</v>
      </c>
      <c r="M37" t="s">
        <v>936</v>
      </c>
      <c r="N37">
        <v>0.75219999999999998</v>
      </c>
      <c r="O37" s="8">
        <f>Table13456789101112132345[[#This Row],[Offloading Litres]]*Table13456789101112132345[[#This Row],[Rate]]</f>
        <v>33262.284</v>
      </c>
      <c r="P37" s="9" t="s">
        <v>890</v>
      </c>
      <c r="Q37" t="s">
        <v>1128</v>
      </c>
    </row>
    <row r="38" spans="1:17" x14ac:dyDescent="0.3">
      <c r="A38" s="7">
        <v>45761</v>
      </c>
      <c r="B38" s="7">
        <v>45762</v>
      </c>
      <c r="C38" t="s">
        <v>28</v>
      </c>
      <c r="D38" t="s">
        <v>33</v>
      </c>
      <c r="E38" t="s">
        <v>40</v>
      </c>
      <c r="F38">
        <v>425066660</v>
      </c>
      <c r="G38">
        <v>802530872</v>
      </c>
      <c r="H38">
        <v>44153</v>
      </c>
      <c r="I38">
        <v>44230</v>
      </c>
      <c r="J38">
        <f>Table13456789101112132345[[#This Row],[Offloading Litres]]-Table13456789101112132345[[#This Row],[LOADED LITRES]]</f>
        <v>77</v>
      </c>
      <c r="K38" t="s">
        <v>25</v>
      </c>
      <c r="L38">
        <v>75565684</v>
      </c>
      <c r="M38" t="s">
        <v>937</v>
      </c>
      <c r="N38">
        <v>0.75219999999999998</v>
      </c>
      <c r="O38" s="8">
        <f>Table13456789101112132345[[#This Row],[Offloading Litres]]*Table13456789101112132345[[#This Row],[Rate]]</f>
        <v>33269.805999999997</v>
      </c>
      <c r="P38" s="9" t="s">
        <v>892</v>
      </c>
      <c r="Q38" t="s">
        <v>1113</v>
      </c>
    </row>
    <row r="39" spans="1:17" x14ac:dyDescent="0.3">
      <c r="A39" s="7">
        <v>45761</v>
      </c>
      <c r="B39" s="7">
        <v>45762</v>
      </c>
      <c r="C39" t="s">
        <v>34</v>
      </c>
      <c r="D39" t="s">
        <v>15</v>
      </c>
      <c r="E39" t="s">
        <v>40</v>
      </c>
      <c r="F39">
        <v>425066664</v>
      </c>
      <c r="G39">
        <v>802531516</v>
      </c>
      <c r="H39">
        <v>43897</v>
      </c>
      <c r="I39">
        <v>43975</v>
      </c>
      <c r="J39">
        <f>Table13456789101112132345[[#This Row],[Offloading Litres]]-Table13456789101112132345[[#This Row],[LOADED LITRES]]</f>
        <v>78</v>
      </c>
      <c r="K39" t="s">
        <v>25</v>
      </c>
      <c r="L39">
        <v>75566186</v>
      </c>
      <c r="M39" t="s">
        <v>938</v>
      </c>
      <c r="N39">
        <v>0.75219999999999998</v>
      </c>
      <c r="O39" s="8">
        <f>Table13456789101112132345[[#This Row],[Offloading Litres]]*Table13456789101112132345[[#This Row],[Rate]]</f>
        <v>33077.995000000003</v>
      </c>
      <c r="P39" s="9" t="s">
        <v>891</v>
      </c>
      <c r="Q39" t="s">
        <v>1111</v>
      </c>
    </row>
    <row r="40" spans="1:17" x14ac:dyDescent="0.3">
      <c r="A40" s="7">
        <v>45761</v>
      </c>
      <c r="B40" s="7">
        <v>45763</v>
      </c>
      <c r="C40" t="s">
        <v>23</v>
      </c>
      <c r="D40" t="s">
        <v>287</v>
      </c>
      <c r="E40" t="s">
        <v>40</v>
      </c>
      <c r="F40">
        <v>425066663</v>
      </c>
      <c r="G40">
        <v>802532367</v>
      </c>
      <c r="H40">
        <v>43993</v>
      </c>
      <c r="I40">
        <v>44010</v>
      </c>
      <c r="J40">
        <f>Table13456789101112132345[[#This Row],[Offloading Litres]]-Table13456789101112132345[[#This Row],[LOADED LITRES]]</f>
        <v>17</v>
      </c>
      <c r="K40" t="s">
        <v>25</v>
      </c>
      <c r="L40">
        <v>75566982</v>
      </c>
      <c r="M40" t="s">
        <v>939</v>
      </c>
      <c r="N40">
        <v>0.75219999999999998</v>
      </c>
      <c r="O40" s="8">
        <f>Table13456789101112132345[[#This Row],[Offloading Litres]]*Table13456789101112132345[[#This Row],[Rate]]</f>
        <v>33104.322</v>
      </c>
      <c r="P40" s="9" t="s">
        <v>893</v>
      </c>
      <c r="Q40" t="s">
        <v>1112</v>
      </c>
    </row>
    <row r="41" spans="1:17" s="15" customFormat="1" x14ac:dyDescent="0.3">
      <c r="A41" s="19">
        <v>45762</v>
      </c>
      <c r="B41" s="19">
        <v>45763</v>
      </c>
      <c r="C41" s="15" t="s">
        <v>21</v>
      </c>
      <c r="D41" s="15" t="s">
        <v>624</v>
      </c>
      <c r="E41" s="15" t="s">
        <v>40</v>
      </c>
      <c r="F41" s="15">
        <v>425066662</v>
      </c>
      <c r="G41" s="15">
        <v>802534768</v>
      </c>
      <c r="H41" s="15">
        <v>44623</v>
      </c>
      <c r="I41" s="15">
        <v>44656</v>
      </c>
      <c r="J41" s="15">
        <f>Table13456789101112132345[[#This Row],[Offloading Litres]]-Table13456789101112132345[[#This Row],[LOADED LITRES]]</f>
        <v>33</v>
      </c>
      <c r="K41" s="15" t="s">
        <v>25</v>
      </c>
      <c r="L41" s="15">
        <v>75569259</v>
      </c>
      <c r="M41" t="s">
        <v>943</v>
      </c>
      <c r="N41" s="15">
        <v>0.74219999999999997</v>
      </c>
      <c r="O41" s="21">
        <f>Table13456789101112132345[[#This Row],[Offloading Litres]]*Table13456789101112132345[[#This Row],[Rate]]</f>
        <v>33143.683199999999</v>
      </c>
      <c r="P41" s="16" t="s">
        <v>894</v>
      </c>
      <c r="Q41" s="15" t="s">
        <v>1110</v>
      </c>
    </row>
    <row r="42" spans="1:17" x14ac:dyDescent="0.3">
      <c r="A42" s="7">
        <v>45762</v>
      </c>
      <c r="B42" s="7">
        <v>45763</v>
      </c>
      <c r="C42" t="s">
        <v>29</v>
      </c>
      <c r="D42" t="s">
        <v>24</v>
      </c>
      <c r="E42" t="s">
        <v>40</v>
      </c>
      <c r="F42">
        <v>425098024</v>
      </c>
      <c r="G42">
        <v>802537785</v>
      </c>
      <c r="H42">
        <v>39433</v>
      </c>
      <c r="I42">
        <v>39461</v>
      </c>
      <c r="J42">
        <f>Table13456789101112132345[[#This Row],[Offloading Litres]]-Table13456789101112132345[[#This Row],[LOADED LITRES]]</f>
        <v>28</v>
      </c>
      <c r="K42" t="s">
        <v>32</v>
      </c>
      <c r="L42">
        <v>75572230</v>
      </c>
      <c r="M42" t="s">
        <v>944</v>
      </c>
      <c r="N42">
        <v>0.74219999999999997</v>
      </c>
      <c r="O42" s="8">
        <f>Table13456789101112132345[[#This Row],[Offloading Litres]]*Table13456789101112132345[[#This Row],[Rate]]</f>
        <v>29287.9542</v>
      </c>
      <c r="P42" s="9" t="s">
        <v>896</v>
      </c>
      <c r="Q42" t="s">
        <v>1109</v>
      </c>
    </row>
    <row r="43" spans="1:17" x14ac:dyDescent="0.3">
      <c r="A43" s="7">
        <v>45762</v>
      </c>
      <c r="B43" s="7">
        <v>45764</v>
      </c>
      <c r="C43" t="s">
        <v>103</v>
      </c>
      <c r="D43" t="s">
        <v>860</v>
      </c>
      <c r="E43" t="s">
        <v>40</v>
      </c>
      <c r="F43">
        <v>425098313</v>
      </c>
      <c r="G43">
        <v>802537952</v>
      </c>
      <c r="H43">
        <v>39328</v>
      </c>
      <c r="I43">
        <v>39441</v>
      </c>
      <c r="J43">
        <f>Table13456789101112132345[[#This Row],[Offloading Litres]]-Table13456789101112132345[[#This Row],[LOADED LITRES]]</f>
        <v>113</v>
      </c>
      <c r="K43" t="s">
        <v>32</v>
      </c>
      <c r="L43">
        <v>75572380</v>
      </c>
      <c r="M43" t="s">
        <v>945</v>
      </c>
      <c r="N43">
        <v>0.74219999999999997</v>
      </c>
      <c r="O43" s="8">
        <f>Table13456789101112132345[[#This Row],[Offloading Litres]]*Table13456789101112132345[[#This Row],[Rate]]</f>
        <v>29273.110199999999</v>
      </c>
      <c r="P43" s="9" t="s">
        <v>940</v>
      </c>
      <c r="Q43" t="s">
        <v>1108</v>
      </c>
    </row>
    <row r="44" spans="1:17" x14ac:dyDescent="0.3">
      <c r="A44" s="7">
        <v>45763</v>
      </c>
      <c r="B44" s="7">
        <v>45764</v>
      </c>
      <c r="C44" t="s">
        <v>30</v>
      </c>
      <c r="D44" t="s">
        <v>35</v>
      </c>
      <c r="E44" t="s">
        <v>40</v>
      </c>
      <c r="F44">
        <v>425098310</v>
      </c>
      <c r="G44">
        <v>802540616</v>
      </c>
      <c r="H44">
        <v>38856</v>
      </c>
      <c r="I44">
        <v>38812</v>
      </c>
      <c r="J44">
        <f>Table13456789101112132345[[#This Row],[Offloading Litres]]-Table13456789101112132345[[#This Row],[LOADED LITRES]]</f>
        <v>-44</v>
      </c>
      <c r="K44" t="s">
        <v>32</v>
      </c>
      <c r="L44">
        <v>75575415</v>
      </c>
      <c r="M44" t="s">
        <v>946</v>
      </c>
      <c r="N44">
        <v>0.74219999999999997</v>
      </c>
      <c r="O44" s="8">
        <f>Table13456789101112132345[[#This Row],[Offloading Litres]]*Table13456789101112132345[[#This Row],[Rate]]</f>
        <v>28806.2664</v>
      </c>
      <c r="P44" s="9" t="s">
        <v>941</v>
      </c>
      <c r="Q44" t="s">
        <v>1107</v>
      </c>
    </row>
    <row r="45" spans="1:17" x14ac:dyDescent="0.3">
      <c r="A45" s="7">
        <v>45764</v>
      </c>
      <c r="B45" s="7">
        <v>45765</v>
      </c>
      <c r="C45" t="s">
        <v>23</v>
      </c>
      <c r="D45" t="s">
        <v>287</v>
      </c>
      <c r="E45" t="s">
        <v>40</v>
      </c>
      <c r="F45">
        <v>425098311</v>
      </c>
      <c r="G45">
        <v>802543049</v>
      </c>
      <c r="H45">
        <v>38860</v>
      </c>
      <c r="I45">
        <v>38815</v>
      </c>
      <c r="J45">
        <f>Table13456789101112132345[[#This Row],[Offloading Litres]]-Table13456789101112132345[[#This Row],[LOADED LITRES]]</f>
        <v>-45</v>
      </c>
      <c r="K45" t="s">
        <v>32</v>
      </c>
      <c r="L45">
        <v>75577757</v>
      </c>
      <c r="M45" t="s">
        <v>947</v>
      </c>
      <c r="N45">
        <v>0.74219999999999997</v>
      </c>
      <c r="O45" s="8">
        <f>Table13456789101112132345[[#This Row],[Offloading Litres]]*Table13456789101112132345[[#This Row],[Rate]]</f>
        <v>28808.492999999999</v>
      </c>
      <c r="P45" s="9" t="s">
        <v>942</v>
      </c>
      <c r="Q45" t="s">
        <v>1129</v>
      </c>
    </row>
    <row r="46" spans="1:17" x14ac:dyDescent="0.3">
      <c r="A46" s="7">
        <v>45764</v>
      </c>
      <c r="B46" s="7">
        <v>45766</v>
      </c>
      <c r="C46" t="s">
        <v>21</v>
      </c>
      <c r="D46" t="s">
        <v>624</v>
      </c>
      <c r="E46" t="s">
        <v>40</v>
      </c>
      <c r="F46">
        <v>425169601</v>
      </c>
      <c r="G46">
        <v>802547948</v>
      </c>
      <c r="H46">
        <v>39337</v>
      </c>
      <c r="I46">
        <v>39549</v>
      </c>
      <c r="J46">
        <f>Table13456789101112132345[[#This Row],[Offloading Litres]]-Table13456789101112132345[[#This Row],[LOADED LITRES]]</f>
        <v>212</v>
      </c>
      <c r="K46" t="s">
        <v>32</v>
      </c>
      <c r="L46">
        <v>75583028</v>
      </c>
      <c r="M46" t="s">
        <v>995</v>
      </c>
      <c r="N46">
        <v>0.74219999999999997</v>
      </c>
      <c r="O46" s="8">
        <f>Table13456789101112132345[[#This Row],[Offloading Litres]]*Table13456789101112132345[[#This Row],[Rate]]</f>
        <v>29353.267799999998</v>
      </c>
      <c r="P46" s="9" t="s">
        <v>956</v>
      </c>
      <c r="Q46" t="s">
        <v>1103</v>
      </c>
    </row>
    <row r="47" spans="1:17" x14ac:dyDescent="0.3">
      <c r="A47" s="7">
        <v>45765</v>
      </c>
      <c r="B47" s="7">
        <v>45766</v>
      </c>
      <c r="C47" t="s">
        <v>103</v>
      </c>
      <c r="D47" t="s">
        <v>860</v>
      </c>
      <c r="E47" t="s">
        <v>40</v>
      </c>
      <c r="F47">
        <v>425169600</v>
      </c>
      <c r="G47">
        <v>802548452</v>
      </c>
      <c r="H47">
        <v>39358</v>
      </c>
      <c r="I47">
        <v>39517</v>
      </c>
      <c r="J47">
        <f>Table13456789101112132345[[#This Row],[Offloading Litres]]-Table13456789101112132345[[#This Row],[LOADED LITRES]]</f>
        <v>159</v>
      </c>
      <c r="K47" t="s">
        <v>32</v>
      </c>
      <c r="L47">
        <v>75583608</v>
      </c>
      <c r="M47" t="s">
        <v>996</v>
      </c>
      <c r="N47">
        <v>0.74219999999999997</v>
      </c>
      <c r="O47" s="8">
        <f>Table13456789101112132345[[#This Row],[Offloading Litres]]*Table13456789101112132345[[#This Row],[Rate]]</f>
        <v>29329.517400000001</v>
      </c>
      <c r="P47" s="9" t="s">
        <v>957</v>
      </c>
      <c r="Q47" t="s">
        <v>1102</v>
      </c>
    </row>
    <row r="48" spans="1:17" x14ac:dyDescent="0.3">
      <c r="A48" s="7">
        <v>45764</v>
      </c>
      <c r="B48" s="7">
        <v>45766</v>
      </c>
      <c r="C48" t="s">
        <v>28</v>
      </c>
      <c r="D48" t="s">
        <v>286</v>
      </c>
      <c r="E48" t="s">
        <v>187</v>
      </c>
      <c r="F48">
        <v>425110469</v>
      </c>
      <c r="G48">
        <v>802544652</v>
      </c>
      <c r="H48">
        <v>39655</v>
      </c>
      <c r="I48">
        <v>39558</v>
      </c>
      <c r="J48">
        <f>Table13456789101112132345[[#This Row],[Offloading Litres]]-Table13456789101112132345[[#This Row],[LOADED LITRES]]</f>
        <v>-97</v>
      </c>
      <c r="K48" t="s">
        <v>958</v>
      </c>
      <c r="L48">
        <v>75579427</v>
      </c>
      <c r="M48" t="s">
        <v>997</v>
      </c>
      <c r="N48">
        <v>0.75760000000000005</v>
      </c>
      <c r="O48" s="8">
        <f>Table13456789101112132345[[#This Row],[Offloading Litres]]*Table13456789101112132345[[#This Row],[Rate]]</f>
        <v>29969.140800000001</v>
      </c>
      <c r="P48" s="9" t="s">
        <v>959</v>
      </c>
      <c r="Q48" t="s">
        <v>1105</v>
      </c>
    </row>
    <row r="49" spans="1:17" x14ac:dyDescent="0.3">
      <c r="A49" s="7">
        <v>45764</v>
      </c>
      <c r="B49" s="7">
        <v>45766</v>
      </c>
      <c r="C49" t="s">
        <v>34</v>
      </c>
      <c r="D49" t="s">
        <v>15</v>
      </c>
      <c r="E49" t="s">
        <v>187</v>
      </c>
      <c r="F49">
        <v>425110370</v>
      </c>
      <c r="G49">
        <v>802544627</v>
      </c>
      <c r="H49">
        <v>38824</v>
      </c>
      <c r="I49">
        <v>38721</v>
      </c>
      <c r="J49">
        <f>Table13456789101112132345[[#This Row],[Offloading Litres]]-Table13456789101112132345[[#This Row],[LOADED LITRES]]</f>
        <v>-103</v>
      </c>
      <c r="K49" t="s">
        <v>958</v>
      </c>
      <c r="L49">
        <v>75579420</v>
      </c>
      <c r="M49" t="s">
        <v>998</v>
      </c>
      <c r="N49">
        <v>0.75760000000000005</v>
      </c>
      <c r="O49" s="8">
        <f>Table13456789101112132345[[#This Row],[Offloading Litres]]*Table13456789101112132345[[#This Row],[Rate]]</f>
        <v>29335.029600000002</v>
      </c>
      <c r="P49" s="9" t="s">
        <v>960</v>
      </c>
      <c r="Q49" t="s">
        <v>1104</v>
      </c>
    </row>
    <row r="50" spans="1:17" x14ac:dyDescent="0.3">
      <c r="A50" s="7">
        <v>45764</v>
      </c>
      <c r="B50" s="7">
        <v>45766</v>
      </c>
      <c r="C50" t="s">
        <v>29</v>
      </c>
      <c r="D50" t="s">
        <v>24</v>
      </c>
      <c r="E50" t="s">
        <v>187</v>
      </c>
      <c r="F50">
        <v>425110366</v>
      </c>
      <c r="G50">
        <v>802547964</v>
      </c>
      <c r="H50">
        <v>39655</v>
      </c>
      <c r="I50">
        <v>39606</v>
      </c>
      <c r="J50">
        <f>Table13456789101112132345[[#This Row],[Offloading Litres]]-Table13456789101112132345[[#This Row],[LOADED LITRES]]</f>
        <v>-49</v>
      </c>
      <c r="K50" t="s">
        <v>961</v>
      </c>
      <c r="L50">
        <v>75583092</v>
      </c>
      <c r="M50" t="s">
        <v>999</v>
      </c>
      <c r="N50">
        <v>0.75760000000000005</v>
      </c>
      <c r="O50" s="8">
        <f>Table13456789101112132345[[#This Row],[Offloading Litres]]*Table13456789101112132345[[#This Row],[Rate]]</f>
        <v>30005.5056</v>
      </c>
      <c r="P50" s="9" t="s">
        <v>962</v>
      </c>
      <c r="Q50" t="s">
        <v>1106</v>
      </c>
    </row>
    <row r="51" spans="1:17" x14ac:dyDescent="0.3">
      <c r="A51" s="7">
        <v>45766</v>
      </c>
      <c r="B51" s="7">
        <v>45768</v>
      </c>
      <c r="C51" t="s">
        <v>29</v>
      </c>
      <c r="D51" t="s">
        <v>24</v>
      </c>
      <c r="E51" t="s">
        <v>617</v>
      </c>
      <c r="F51">
        <v>425184012</v>
      </c>
      <c r="G51">
        <v>802553299</v>
      </c>
      <c r="H51">
        <v>39653</v>
      </c>
      <c r="I51">
        <v>39652</v>
      </c>
      <c r="J51">
        <f>Table13456789101112132345[[#This Row],[Offloading Litres]]-Table13456789101112132345[[#This Row],[LOADED LITRES]]</f>
        <v>-1</v>
      </c>
      <c r="K51" t="s">
        <v>32</v>
      </c>
      <c r="L51">
        <v>75589685</v>
      </c>
      <c r="M51" t="s">
        <v>1000</v>
      </c>
      <c r="N51">
        <v>0.68579999999999997</v>
      </c>
      <c r="O51" s="8">
        <f>Table13456789101112132345[[#This Row],[Offloading Litres]]*Table13456789101112132345[[#This Row],[Rate]]</f>
        <v>27193.3416</v>
      </c>
      <c r="P51" s="9" t="s">
        <v>963</v>
      </c>
      <c r="Q51" t="s">
        <v>1120</v>
      </c>
    </row>
    <row r="52" spans="1:17" x14ac:dyDescent="0.3">
      <c r="A52" s="7">
        <v>45766</v>
      </c>
      <c r="B52" s="7">
        <v>45769</v>
      </c>
      <c r="C52" t="s">
        <v>30</v>
      </c>
      <c r="D52" t="s">
        <v>35</v>
      </c>
      <c r="E52" t="s">
        <v>40</v>
      </c>
      <c r="F52">
        <v>425169599</v>
      </c>
      <c r="G52">
        <v>802552874</v>
      </c>
      <c r="H52">
        <v>38806</v>
      </c>
      <c r="I52">
        <v>38955</v>
      </c>
      <c r="J52">
        <f>Table13456789101112132345[[#This Row],[Offloading Litres]]-Table13456789101112132345[[#This Row],[LOADED LITRES]]</f>
        <v>149</v>
      </c>
      <c r="K52" t="s">
        <v>32</v>
      </c>
      <c r="L52">
        <v>75589191</v>
      </c>
      <c r="M52" t="s">
        <v>1003</v>
      </c>
      <c r="N52">
        <v>0.74219999999999997</v>
      </c>
      <c r="O52" s="8">
        <f>Table13456789101112132345[[#This Row],[Offloading Litres]]*Table13456789101112132345[[#This Row],[Rate]]</f>
        <v>28912.400999999998</v>
      </c>
      <c r="P52" s="9" t="s">
        <v>969</v>
      </c>
      <c r="Q52" t="s">
        <v>1125</v>
      </c>
    </row>
    <row r="53" spans="1:17" x14ac:dyDescent="0.3">
      <c r="A53" s="7">
        <v>45767</v>
      </c>
      <c r="B53" s="7">
        <v>45768</v>
      </c>
      <c r="C53" t="s">
        <v>34</v>
      </c>
      <c r="D53" t="s">
        <v>15</v>
      </c>
      <c r="E53" t="s">
        <v>617</v>
      </c>
      <c r="F53">
        <v>425184019</v>
      </c>
      <c r="G53">
        <v>802553549</v>
      </c>
      <c r="H53">
        <v>38878</v>
      </c>
      <c r="I53">
        <v>38866</v>
      </c>
      <c r="J53">
        <f>Table13456789101112132345[[#This Row],[Offloading Litres]]-Table13456789101112132345[[#This Row],[LOADED LITRES]]</f>
        <v>-12</v>
      </c>
      <c r="K53" t="s">
        <v>32</v>
      </c>
      <c r="L53">
        <v>75589950</v>
      </c>
      <c r="M53" t="s">
        <v>1001</v>
      </c>
      <c r="N53">
        <v>0.68579999999999997</v>
      </c>
      <c r="O53" s="8">
        <f>Table13456789101112132345[[#This Row],[Offloading Litres]]*Table13456789101112132345[[#This Row],[Rate]]</f>
        <v>26654.302799999998</v>
      </c>
      <c r="P53" s="9" t="s">
        <v>964</v>
      </c>
      <c r="Q53" t="s">
        <v>1119</v>
      </c>
    </row>
    <row r="54" spans="1:17" x14ac:dyDescent="0.3">
      <c r="A54" s="7">
        <v>45767</v>
      </c>
      <c r="B54" s="7">
        <v>45768</v>
      </c>
      <c r="C54" t="s">
        <v>17</v>
      </c>
      <c r="D54" t="s">
        <v>19</v>
      </c>
      <c r="E54" t="s">
        <v>617</v>
      </c>
      <c r="F54">
        <v>425184135</v>
      </c>
      <c r="G54">
        <v>802554131</v>
      </c>
      <c r="H54">
        <v>38787</v>
      </c>
      <c r="I54">
        <v>38896</v>
      </c>
      <c r="J54">
        <f>Table13456789101112132345[[#This Row],[Offloading Litres]]-Table13456789101112132345[[#This Row],[LOADED LITRES]]</f>
        <v>109</v>
      </c>
      <c r="K54" t="s">
        <v>32</v>
      </c>
      <c r="L54">
        <v>75590637</v>
      </c>
      <c r="M54" t="s">
        <v>1002</v>
      </c>
      <c r="N54">
        <v>0.68579999999999997</v>
      </c>
      <c r="O54" s="8">
        <f>Table13456789101112132345[[#This Row],[Offloading Litres]]*Table13456789101112132345[[#This Row],[Rate]]</f>
        <v>26674.876799999998</v>
      </c>
      <c r="P54" s="9" t="s">
        <v>965</v>
      </c>
      <c r="Q54" t="s">
        <v>1115</v>
      </c>
    </row>
    <row r="55" spans="1:17" x14ac:dyDescent="0.3">
      <c r="A55" s="7">
        <v>45767</v>
      </c>
      <c r="B55" s="7">
        <v>45768</v>
      </c>
      <c r="C55" t="s">
        <v>103</v>
      </c>
      <c r="D55" t="s">
        <v>860</v>
      </c>
      <c r="E55" t="s">
        <v>617</v>
      </c>
      <c r="F55">
        <v>425184129</v>
      </c>
      <c r="G55">
        <v>802554063</v>
      </c>
      <c r="H55">
        <v>39278</v>
      </c>
      <c r="I55">
        <v>39503</v>
      </c>
      <c r="J55">
        <f>Table13456789101112132345[[#This Row],[Offloading Litres]]-Table13456789101112132345[[#This Row],[LOADED LITRES]]</f>
        <v>225</v>
      </c>
      <c r="K55" t="s">
        <v>32</v>
      </c>
      <c r="L55">
        <v>75590588</v>
      </c>
      <c r="M55" t="s">
        <v>1004</v>
      </c>
      <c r="N55">
        <v>0.68579999999999997</v>
      </c>
      <c r="O55" s="8">
        <f>Table13456789101112132345[[#This Row],[Offloading Litres]]*Table13456789101112132345[[#This Row],[Rate]]</f>
        <v>27091.1574</v>
      </c>
      <c r="P55" s="9" t="s">
        <v>966</v>
      </c>
      <c r="Q55" t="s">
        <v>1116</v>
      </c>
    </row>
    <row r="56" spans="1:17" x14ac:dyDescent="0.3">
      <c r="A56" s="7">
        <v>45767</v>
      </c>
      <c r="B56" s="7">
        <v>45768</v>
      </c>
      <c r="C56" t="s">
        <v>28</v>
      </c>
      <c r="D56" t="s">
        <v>286</v>
      </c>
      <c r="E56" t="s">
        <v>617</v>
      </c>
      <c r="F56">
        <v>425184027</v>
      </c>
      <c r="G56">
        <v>802553555</v>
      </c>
      <c r="H56">
        <v>39670</v>
      </c>
      <c r="I56">
        <v>39691</v>
      </c>
      <c r="J56">
        <f>Table13456789101112132345[[#This Row],[Offloading Litres]]-Table13456789101112132345[[#This Row],[LOADED LITRES]]</f>
        <v>21</v>
      </c>
      <c r="K56" t="s">
        <v>32</v>
      </c>
      <c r="L56">
        <v>75589956</v>
      </c>
      <c r="M56" t="s">
        <v>1005</v>
      </c>
      <c r="N56">
        <v>0.68579999999999997</v>
      </c>
      <c r="O56" s="8">
        <f>Table13456789101112132345[[#This Row],[Offloading Litres]]*Table13456789101112132345[[#This Row],[Rate]]</f>
        <v>27220.087799999998</v>
      </c>
      <c r="P56" s="9" t="s">
        <v>967</v>
      </c>
      <c r="Q56" t="s">
        <v>1118</v>
      </c>
    </row>
    <row r="57" spans="1:17" x14ac:dyDescent="0.3">
      <c r="A57" s="7">
        <v>45767</v>
      </c>
      <c r="B57" s="7">
        <v>45768</v>
      </c>
      <c r="C57" t="s">
        <v>21</v>
      </c>
      <c r="D57" t="s">
        <v>624</v>
      </c>
      <c r="E57" t="s">
        <v>617</v>
      </c>
      <c r="F57">
        <v>425184035</v>
      </c>
      <c r="G57">
        <v>802554057</v>
      </c>
      <c r="H57">
        <v>39264</v>
      </c>
      <c r="I57">
        <v>39535</v>
      </c>
      <c r="J57">
        <f>Table13456789101112132345[[#This Row],[Offloading Litres]]-Table13456789101112132345[[#This Row],[LOADED LITRES]]</f>
        <v>271</v>
      </c>
      <c r="K57" t="s">
        <v>32</v>
      </c>
      <c r="L57">
        <v>75590578</v>
      </c>
      <c r="M57" t="s">
        <v>1006</v>
      </c>
      <c r="N57">
        <v>0.68579999999999997</v>
      </c>
      <c r="O57" s="8">
        <f>Table13456789101112132345[[#This Row],[Offloading Litres]]*Table13456789101112132345[[#This Row],[Rate]]</f>
        <v>27113.102999999999</v>
      </c>
      <c r="P57" s="9" t="s">
        <v>968</v>
      </c>
      <c r="Q57" t="s">
        <v>1117</v>
      </c>
    </row>
    <row r="58" spans="1:17" x14ac:dyDescent="0.3">
      <c r="A58" s="7">
        <v>45768</v>
      </c>
      <c r="B58" s="7">
        <v>45771</v>
      </c>
      <c r="C58" t="s">
        <v>29</v>
      </c>
      <c r="D58" t="s">
        <v>24</v>
      </c>
      <c r="E58" t="s">
        <v>40</v>
      </c>
      <c r="F58">
        <v>425169654</v>
      </c>
      <c r="G58">
        <v>802556206</v>
      </c>
      <c r="H58">
        <v>39375</v>
      </c>
      <c r="I58">
        <v>39329</v>
      </c>
      <c r="J58">
        <f>Table13456789101112132345[[#This Row],[Offloading Litres]]-Table13456789101112132345[[#This Row],[LOADED LITRES]]</f>
        <v>-46</v>
      </c>
      <c r="K58" t="s">
        <v>32</v>
      </c>
      <c r="L58">
        <v>75592859</v>
      </c>
      <c r="M58" t="s">
        <v>1007</v>
      </c>
      <c r="N58">
        <v>0.74219999999999997</v>
      </c>
      <c r="O58" s="8">
        <f>Table13456789101112132345[[#This Row],[Offloading Litres]]*Table13456789101112132345[[#This Row],[Rate]]</f>
        <v>29189.983799999998</v>
      </c>
      <c r="P58" s="9" t="s">
        <v>992</v>
      </c>
      <c r="Q58" t="s">
        <v>1155</v>
      </c>
    </row>
    <row r="59" spans="1:17" x14ac:dyDescent="0.3">
      <c r="A59" s="7">
        <v>45769</v>
      </c>
      <c r="B59" s="7">
        <v>45771</v>
      </c>
      <c r="C59" t="s">
        <v>34</v>
      </c>
      <c r="D59" t="s">
        <v>15</v>
      </c>
      <c r="E59" t="s">
        <v>40</v>
      </c>
      <c r="F59">
        <v>425169580</v>
      </c>
      <c r="G59">
        <v>802556256</v>
      </c>
      <c r="H59">
        <v>43974</v>
      </c>
      <c r="I59">
        <v>43866</v>
      </c>
      <c r="J59">
        <f>Table13456789101112132345[[#This Row],[Offloading Litres]]-Table13456789101112132345[[#This Row],[LOADED LITRES]]</f>
        <v>-108</v>
      </c>
      <c r="K59" t="s">
        <v>25</v>
      </c>
      <c r="L59">
        <v>75592916</v>
      </c>
      <c r="M59" t="s">
        <v>1008</v>
      </c>
      <c r="N59">
        <v>0.74219999999999997</v>
      </c>
      <c r="O59" s="8">
        <f>Table13456789101112132345[[#This Row],[Offloading Litres]]*Table13456789101112132345[[#This Row],[Rate]]</f>
        <v>32557.3452</v>
      </c>
      <c r="P59" s="9" t="s">
        <v>973</v>
      </c>
      <c r="Q59" t="s">
        <v>1150</v>
      </c>
    </row>
    <row r="60" spans="1:17" x14ac:dyDescent="0.3">
      <c r="A60" s="7">
        <v>45769</v>
      </c>
      <c r="B60" s="7">
        <v>45771</v>
      </c>
      <c r="C60" t="s">
        <v>28</v>
      </c>
      <c r="D60" t="s">
        <v>286</v>
      </c>
      <c r="E60" t="s">
        <v>40</v>
      </c>
      <c r="F60">
        <v>425169542</v>
      </c>
      <c r="G60">
        <v>802556265</v>
      </c>
      <c r="H60">
        <v>44248</v>
      </c>
      <c r="I60">
        <v>44167</v>
      </c>
      <c r="J60">
        <f>Table13456789101112132345[[#This Row],[Offloading Litres]]-Table13456789101112132345[[#This Row],[LOADED LITRES]]</f>
        <v>-81</v>
      </c>
      <c r="K60" t="s">
        <v>25</v>
      </c>
      <c r="L60">
        <v>75592934</v>
      </c>
      <c r="M60" t="s">
        <v>1009</v>
      </c>
      <c r="N60">
        <v>0.74219999999999997</v>
      </c>
      <c r="O60" s="8">
        <f>Table13456789101112132345[[#This Row],[Offloading Litres]]*Table13456789101112132345[[#This Row],[Rate]]</f>
        <v>32780.7474</v>
      </c>
      <c r="P60" s="9" t="s">
        <v>974</v>
      </c>
      <c r="Q60" t="s">
        <v>1156</v>
      </c>
    </row>
    <row r="61" spans="1:17" x14ac:dyDescent="0.3">
      <c r="A61" s="7">
        <v>45769</v>
      </c>
      <c r="B61" s="7">
        <v>45771</v>
      </c>
      <c r="C61" t="s">
        <v>17</v>
      </c>
      <c r="D61" t="s">
        <v>19</v>
      </c>
      <c r="E61" t="s">
        <v>16</v>
      </c>
      <c r="F61">
        <v>425268066</v>
      </c>
      <c r="G61">
        <v>802559688</v>
      </c>
      <c r="H61">
        <v>38772</v>
      </c>
      <c r="I61">
        <v>38630</v>
      </c>
      <c r="J61">
        <f>Table13456789101112132345[[#This Row],[Offloading Litres]]-Table13456789101112132345[[#This Row],[LOADED LITRES]]</f>
        <v>-142</v>
      </c>
      <c r="K61" t="s">
        <v>32</v>
      </c>
      <c r="L61">
        <v>75596322</v>
      </c>
      <c r="M61" t="s">
        <v>1010</v>
      </c>
      <c r="N61">
        <v>0.68640000000000001</v>
      </c>
      <c r="O61" s="8">
        <f>Table13456789101112132345[[#This Row],[Offloading Litres]]*Table13456789101112132345[[#This Row],[Rate]]</f>
        <v>26515.632000000001</v>
      </c>
      <c r="P61" s="9" t="s">
        <v>972</v>
      </c>
      <c r="Q61" t="s">
        <v>1123</v>
      </c>
    </row>
    <row r="62" spans="1:17" x14ac:dyDescent="0.3">
      <c r="A62" s="7">
        <v>45769</v>
      </c>
      <c r="B62" s="7">
        <v>45770</v>
      </c>
      <c r="C62" t="s">
        <v>21</v>
      </c>
      <c r="D62" t="s">
        <v>624</v>
      </c>
      <c r="E62" t="s">
        <v>617</v>
      </c>
      <c r="F62">
        <v>425184140</v>
      </c>
      <c r="G62">
        <v>802561820</v>
      </c>
      <c r="H62">
        <v>39339</v>
      </c>
      <c r="I62">
        <v>39430</v>
      </c>
      <c r="J62">
        <f>Table13456789101112132345[[#This Row],[Offloading Litres]]-Table13456789101112132345[[#This Row],[LOADED LITRES]]</f>
        <v>91</v>
      </c>
      <c r="K62" t="s">
        <v>32</v>
      </c>
      <c r="L62">
        <v>75597803</v>
      </c>
      <c r="M62" t="s">
        <v>1011</v>
      </c>
      <c r="N62">
        <v>0.68579999999999997</v>
      </c>
      <c r="O62" s="8">
        <f>Table13456789101112132345[[#This Row],[Offloading Litres]]*Table13456789101112132345[[#This Row],[Rate]]</f>
        <v>27041.093999999997</v>
      </c>
      <c r="P62" s="9" t="s">
        <v>970</v>
      </c>
      <c r="Q62" t="s">
        <v>1124</v>
      </c>
    </row>
    <row r="63" spans="1:17" x14ac:dyDescent="0.3">
      <c r="A63" s="7">
        <v>45769</v>
      </c>
      <c r="B63" s="7">
        <v>45770</v>
      </c>
      <c r="C63" t="s">
        <v>103</v>
      </c>
      <c r="D63" t="s">
        <v>860</v>
      </c>
      <c r="E63" t="s">
        <v>617</v>
      </c>
      <c r="F63">
        <v>425184150</v>
      </c>
      <c r="G63">
        <v>802561851</v>
      </c>
      <c r="H63">
        <v>39337</v>
      </c>
      <c r="I63">
        <v>39376</v>
      </c>
      <c r="J63">
        <f>Table13456789101112132345[[#This Row],[Offloading Litres]]-Table13456789101112132345[[#This Row],[LOADED LITRES]]</f>
        <v>39</v>
      </c>
      <c r="K63" t="s">
        <v>32</v>
      </c>
      <c r="L63">
        <v>75597840</v>
      </c>
      <c r="M63" t="s">
        <v>1012</v>
      </c>
      <c r="N63">
        <v>0.68579999999999997</v>
      </c>
      <c r="O63" s="8">
        <f>Table13456789101112132345[[#This Row],[Offloading Litres]]*Table13456789101112132345[[#This Row],[Rate]]</f>
        <v>27004.060799999999</v>
      </c>
      <c r="P63" s="9" t="s">
        <v>971</v>
      </c>
      <c r="Q63" t="s">
        <v>1149</v>
      </c>
    </row>
    <row r="64" spans="1:17" x14ac:dyDescent="0.3">
      <c r="A64" s="7">
        <v>45771</v>
      </c>
      <c r="B64" s="7">
        <v>45772</v>
      </c>
      <c r="C64" t="s">
        <v>30</v>
      </c>
      <c r="D64" t="s">
        <v>26</v>
      </c>
      <c r="E64" t="s">
        <v>617</v>
      </c>
      <c r="F64">
        <v>425184162</v>
      </c>
      <c r="G64">
        <v>802571173</v>
      </c>
      <c r="H64">
        <v>38797</v>
      </c>
      <c r="I64">
        <v>38781</v>
      </c>
      <c r="J64">
        <f>Table13456789101112132345[[#This Row],[Offloading Litres]]-Table13456789101112132345[[#This Row],[LOADED LITRES]]</f>
        <v>-16</v>
      </c>
      <c r="K64" t="s">
        <v>32</v>
      </c>
      <c r="L64">
        <v>75607163</v>
      </c>
      <c r="M64" t="s">
        <v>1013</v>
      </c>
      <c r="N64">
        <v>0.68579999999999997</v>
      </c>
      <c r="O64" s="8">
        <f>Table13456789101112132345[[#This Row],[Offloading Litres]]*Table13456789101112132345[[#This Row],[Rate]]</f>
        <v>26596.0098</v>
      </c>
      <c r="P64" s="9" t="s">
        <v>975</v>
      </c>
      <c r="Q64" t="s">
        <v>1151</v>
      </c>
    </row>
    <row r="65" spans="1:17" x14ac:dyDescent="0.3">
      <c r="A65" s="7">
        <v>45771</v>
      </c>
      <c r="B65" s="7">
        <v>45773</v>
      </c>
      <c r="C65" t="s">
        <v>21</v>
      </c>
      <c r="D65" t="s">
        <v>624</v>
      </c>
      <c r="E65" t="s">
        <v>617</v>
      </c>
      <c r="F65">
        <v>425184175</v>
      </c>
      <c r="G65">
        <v>802571791</v>
      </c>
      <c r="H65">
        <v>39303</v>
      </c>
      <c r="I65">
        <v>39433</v>
      </c>
      <c r="J65">
        <f>Table13456789101112132345[[#This Row],[Offloading Litres]]-Table13456789101112132345[[#This Row],[LOADED LITRES]]</f>
        <v>130</v>
      </c>
      <c r="K65" t="s">
        <v>32</v>
      </c>
      <c r="L65">
        <v>75607786</v>
      </c>
      <c r="M65" t="s">
        <v>1014</v>
      </c>
      <c r="N65">
        <v>0.68579999999999997</v>
      </c>
      <c r="O65" s="8">
        <f>Table13456789101112132345[[#This Row],[Offloading Litres]]*Table13456789101112132345[[#This Row],[Rate]]</f>
        <v>27043.151399999999</v>
      </c>
      <c r="P65" s="9" t="s">
        <v>991</v>
      </c>
      <c r="Q65" t="s">
        <v>1148</v>
      </c>
    </row>
    <row r="66" spans="1:17" x14ac:dyDescent="0.3">
      <c r="A66" s="7">
        <v>45772</v>
      </c>
      <c r="B66" s="7">
        <v>45772</v>
      </c>
      <c r="C66" t="s">
        <v>34</v>
      </c>
      <c r="D66" t="s">
        <v>15</v>
      </c>
      <c r="E66" t="s">
        <v>617</v>
      </c>
      <c r="F66">
        <v>425184469</v>
      </c>
      <c r="G66">
        <v>802571899</v>
      </c>
      <c r="H66">
        <v>38807</v>
      </c>
      <c r="I66">
        <v>38841</v>
      </c>
      <c r="J66">
        <f>Table13456789101112132345[[#This Row],[Offloading Litres]]-Table13456789101112132345[[#This Row],[LOADED LITRES]]</f>
        <v>34</v>
      </c>
      <c r="K66" t="s">
        <v>32</v>
      </c>
      <c r="L66">
        <v>75607890</v>
      </c>
      <c r="M66" t="s">
        <v>1015</v>
      </c>
      <c r="N66">
        <v>0.68579999999999997</v>
      </c>
      <c r="O66" s="8">
        <f>Table13456789101112132345[[#This Row],[Offloading Litres]]*Table13456789101112132345[[#This Row],[Rate]]</f>
        <v>26637.157799999997</v>
      </c>
      <c r="P66" s="9" t="s">
        <v>976</v>
      </c>
      <c r="Q66" t="s">
        <v>1122</v>
      </c>
    </row>
    <row r="67" spans="1:17" x14ac:dyDescent="0.3">
      <c r="A67" s="7">
        <v>45771</v>
      </c>
      <c r="B67" s="7">
        <v>45773</v>
      </c>
      <c r="C67" t="s">
        <v>103</v>
      </c>
      <c r="D67" t="s">
        <v>860</v>
      </c>
      <c r="E67" t="s">
        <v>617</v>
      </c>
      <c r="F67">
        <v>425184235</v>
      </c>
      <c r="G67">
        <v>802571810</v>
      </c>
      <c r="H67">
        <v>39299</v>
      </c>
      <c r="I67">
        <v>39399</v>
      </c>
      <c r="J67">
        <f>Table13456789101112132345[[#This Row],[Offloading Litres]]-Table13456789101112132345[[#This Row],[LOADED LITRES]]</f>
        <v>100</v>
      </c>
      <c r="K67" t="s">
        <v>32</v>
      </c>
      <c r="L67">
        <v>75607809</v>
      </c>
      <c r="M67" t="s">
        <v>1016</v>
      </c>
      <c r="N67">
        <v>0.68579999999999997</v>
      </c>
      <c r="O67" s="8">
        <f>Table13456789101112132345[[#This Row],[Offloading Litres]]*Table13456789101112132345[[#This Row],[Rate]]</f>
        <v>27019.834199999998</v>
      </c>
      <c r="P67" s="9" t="s">
        <v>977</v>
      </c>
      <c r="Q67" t="s">
        <v>1121</v>
      </c>
    </row>
    <row r="68" spans="1:17" x14ac:dyDescent="0.3">
      <c r="A68" s="7">
        <v>45772</v>
      </c>
      <c r="B68" s="7">
        <v>45773</v>
      </c>
      <c r="C68" t="s">
        <v>17</v>
      </c>
      <c r="D68" t="s">
        <v>19</v>
      </c>
      <c r="E68" t="s">
        <v>617</v>
      </c>
      <c r="F68">
        <v>425184864</v>
      </c>
      <c r="G68">
        <v>802576337</v>
      </c>
      <c r="H68">
        <v>38825</v>
      </c>
      <c r="I68">
        <v>38861</v>
      </c>
      <c r="J68">
        <f>Table13456789101112132345[[#This Row],[Offloading Litres]]-Table13456789101112132345[[#This Row],[LOADED LITRES]]</f>
        <v>36</v>
      </c>
      <c r="K68" t="s">
        <v>32</v>
      </c>
      <c r="L68">
        <v>75612379</v>
      </c>
      <c r="M68" t="s">
        <v>1030</v>
      </c>
      <c r="N68">
        <v>0.68579999999999997</v>
      </c>
      <c r="O68" s="8">
        <f>Table13456789101112132345[[#This Row],[Offloading Litres]]*Table13456789101112132345[[#This Row],[Rate]]</f>
        <v>26650.873799999998</v>
      </c>
      <c r="P68" s="9" t="s">
        <v>993</v>
      </c>
      <c r="Q68" t="s">
        <v>1126</v>
      </c>
    </row>
    <row r="69" spans="1:17" x14ac:dyDescent="0.3">
      <c r="A69" s="7">
        <v>45772</v>
      </c>
      <c r="B69" s="7">
        <v>45773</v>
      </c>
      <c r="C69" t="s">
        <v>29</v>
      </c>
      <c r="D69" t="s">
        <v>24</v>
      </c>
      <c r="E69" t="s">
        <v>617</v>
      </c>
      <c r="F69">
        <v>425184803</v>
      </c>
      <c r="G69">
        <v>802576638</v>
      </c>
      <c r="H69">
        <v>39611</v>
      </c>
      <c r="I69">
        <v>39672</v>
      </c>
      <c r="J69">
        <f>Table13456789101112132345[[#This Row],[Offloading Litres]]-Table13456789101112132345[[#This Row],[LOADED LITRES]]</f>
        <v>61</v>
      </c>
      <c r="K69" t="s">
        <v>32</v>
      </c>
      <c r="L69">
        <v>75612610</v>
      </c>
      <c r="M69" t="s">
        <v>1017</v>
      </c>
      <c r="N69">
        <v>0.68579999999999997</v>
      </c>
      <c r="O69" s="8">
        <f>Table13456789101112132345[[#This Row],[Offloading Litres]]*Table13456789101112132345[[#This Row],[Rate]]</f>
        <v>27207.0576</v>
      </c>
      <c r="P69" s="9" t="s">
        <v>978</v>
      </c>
      <c r="Q69" t="s">
        <v>1127</v>
      </c>
    </row>
    <row r="70" spans="1:17" x14ac:dyDescent="0.3">
      <c r="A70" s="7">
        <v>45773</v>
      </c>
      <c r="B70" s="7">
        <v>45775</v>
      </c>
      <c r="C70" t="s">
        <v>30</v>
      </c>
      <c r="D70" t="s">
        <v>26</v>
      </c>
      <c r="E70" t="s">
        <v>617</v>
      </c>
      <c r="F70">
        <v>425185149</v>
      </c>
      <c r="G70">
        <v>802579084</v>
      </c>
      <c r="H70">
        <v>38795</v>
      </c>
      <c r="I70">
        <v>38806</v>
      </c>
      <c r="J70">
        <f>Table13456789101112132345[[#This Row],[Offloading Litres]]-Table13456789101112132345[[#This Row],[LOADED LITRES]]</f>
        <v>11</v>
      </c>
      <c r="K70" t="s">
        <v>32</v>
      </c>
      <c r="L70">
        <v>75615688</v>
      </c>
      <c r="M70" t="s">
        <v>1020</v>
      </c>
      <c r="N70">
        <v>0.68579999999999997</v>
      </c>
      <c r="O70" s="8">
        <f>Table13456789101112132345[[#This Row],[Offloading Litres]]*Table13456789101112132345[[#This Row],[Rate]]</f>
        <v>26613.1548</v>
      </c>
      <c r="P70" s="9" t="s">
        <v>979</v>
      </c>
      <c r="Q70" t="s">
        <v>1132</v>
      </c>
    </row>
    <row r="71" spans="1:17" x14ac:dyDescent="0.3">
      <c r="A71" s="7">
        <v>45773</v>
      </c>
      <c r="B71" s="7">
        <v>45775</v>
      </c>
      <c r="C71" t="s">
        <v>34</v>
      </c>
      <c r="D71" t="s">
        <v>15</v>
      </c>
      <c r="E71" t="s">
        <v>617</v>
      </c>
      <c r="F71">
        <v>425184873</v>
      </c>
      <c r="G71">
        <v>802579135</v>
      </c>
      <c r="H71">
        <v>38813</v>
      </c>
      <c r="I71">
        <v>38825</v>
      </c>
      <c r="J71">
        <f>Table13456789101112132345[[#This Row],[Offloading Litres]]-Table13456789101112132345[[#This Row],[LOADED LITRES]]</f>
        <v>12</v>
      </c>
      <c r="K71" t="s">
        <v>32</v>
      </c>
      <c r="L71">
        <v>75615753</v>
      </c>
      <c r="M71" t="s">
        <v>1021</v>
      </c>
      <c r="N71">
        <v>0.68579999999999997</v>
      </c>
      <c r="O71" s="8">
        <f>Table13456789101112132345[[#This Row],[Offloading Litres]]*Table13456789101112132345[[#This Row],[Rate]]</f>
        <v>26626.184999999998</v>
      </c>
      <c r="P71" s="9" t="s">
        <v>980</v>
      </c>
      <c r="Q71" t="s">
        <v>1131</v>
      </c>
    </row>
    <row r="72" spans="1:17" x14ac:dyDescent="0.3">
      <c r="A72" s="7">
        <v>45773</v>
      </c>
      <c r="B72" s="7">
        <v>45775</v>
      </c>
      <c r="C72" t="s">
        <v>28</v>
      </c>
      <c r="D72" t="s">
        <v>286</v>
      </c>
      <c r="E72" t="s">
        <v>617</v>
      </c>
      <c r="F72">
        <v>425185393</v>
      </c>
      <c r="G72">
        <v>802579148</v>
      </c>
      <c r="H72">
        <v>39603</v>
      </c>
      <c r="I72">
        <v>39625</v>
      </c>
      <c r="J72">
        <f>Table13456789101112132345[[#This Row],[Offloading Litres]]-Table13456789101112132345[[#This Row],[LOADED LITRES]]</f>
        <v>22</v>
      </c>
      <c r="K72" t="s">
        <v>32</v>
      </c>
      <c r="L72">
        <v>75615761</v>
      </c>
      <c r="M72" t="s">
        <v>1022</v>
      </c>
      <c r="N72">
        <v>0.68579999999999997</v>
      </c>
      <c r="O72" s="8">
        <f>Table13456789101112132345[[#This Row],[Offloading Litres]]*Table13456789101112132345[[#This Row],[Rate]]</f>
        <v>27174.824999999997</v>
      </c>
      <c r="P72" s="9" t="s">
        <v>981</v>
      </c>
      <c r="Q72" t="s">
        <v>1130</v>
      </c>
    </row>
    <row r="73" spans="1:17" x14ac:dyDescent="0.3">
      <c r="A73" s="7">
        <v>45774</v>
      </c>
      <c r="B73" s="7">
        <v>45775</v>
      </c>
      <c r="C73" t="s">
        <v>21</v>
      </c>
      <c r="D73" t="s">
        <v>624</v>
      </c>
      <c r="E73" t="s">
        <v>617</v>
      </c>
      <c r="F73">
        <v>425185401</v>
      </c>
      <c r="G73">
        <v>802579383</v>
      </c>
      <c r="H73">
        <v>39318</v>
      </c>
      <c r="I73">
        <v>39523</v>
      </c>
      <c r="J73">
        <f>Table13456789101112132345[[#This Row],[Offloading Litres]]-Table13456789101112132345[[#This Row],[LOADED LITRES]]</f>
        <v>205</v>
      </c>
      <c r="K73" t="s">
        <v>32</v>
      </c>
      <c r="L73">
        <v>75616084</v>
      </c>
      <c r="M73" t="s">
        <v>1018</v>
      </c>
      <c r="N73">
        <v>0.68579999999999997</v>
      </c>
      <c r="O73" s="8">
        <f>Table13456789101112132345[[#This Row],[Offloading Litres]]*Table13456789101112132345[[#This Row],[Rate]]</f>
        <v>27104.8734</v>
      </c>
      <c r="P73" s="9" t="s">
        <v>982</v>
      </c>
      <c r="Q73" t="s">
        <v>1133</v>
      </c>
    </row>
    <row r="74" spans="1:17" x14ac:dyDescent="0.3">
      <c r="A74" s="7">
        <v>45774</v>
      </c>
      <c r="B74" s="7">
        <v>45776</v>
      </c>
      <c r="C74" t="s">
        <v>103</v>
      </c>
      <c r="D74" t="s">
        <v>860</v>
      </c>
      <c r="E74" t="s">
        <v>617</v>
      </c>
      <c r="F74">
        <v>425185397</v>
      </c>
      <c r="G74">
        <v>802579385</v>
      </c>
      <c r="H74">
        <v>39323</v>
      </c>
      <c r="I74">
        <v>39367</v>
      </c>
      <c r="J74">
        <f>Table13456789101112132345[[#This Row],[Offloading Litres]]-Table13456789101112132345[[#This Row],[LOADED LITRES]]</f>
        <v>44</v>
      </c>
      <c r="K74" t="s">
        <v>32</v>
      </c>
      <c r="L74">
        <v>75616087</v>
      </c>
      <c r="M74" t="s">
        <v>1019</v>
      </c>
      <c r="N74">
        <v>0.68579999999999997</v>
      </c>
      <c r="O74" s="8">
        <f>Table13456789101112132345[[#This Row],[Offloading Litres]]*Table13456789101112132345[[#This Row],[Rate]]</f>
        <v>26997.888599999998</v>
      </c>
      <c r="P74" s="9" t="s">
        <v>987</v>
      </c>
      <c r="Q74" t="s">
        <v>1136</v>
      </c>
    </row>
    <row r="75" spans="1:17" x14ac:dyDescent="0.3">
      <c r="A75" s="7">
        <v>45774</v>
      </c>
      <c r="B75" s="7">
        <v>45775</v>
      </c>
      <c r="C75" t="s">
        <v>29</v>
      </c>
      <c r="D75" t="s">
        <v>24</v>
      </c>
      <c r="E75" t="s">
        <v>617</v>
      </c>
      <c r="F75">
        <v>425185413</v>
      </c>
      <c r="G75">
        <v>802579094</v>
      </c>
      <c r="H75">
        <v>39556</v>
      </c>
      <c r="I75">
        <v>39663</v>
      </c>
      <c r="J75">
        <f>Table13456789101112132345[[#This Row],[Offloading Litres]]-Table13456789101112132345[[#This Row],[LOADED LITRES]]</f>
        <v>107</v>
      </c>
      <c r="K75" t="s">
        <v>32</v>
      </c>
      <c r="L75">
        <v>75616827</v>
      </c>
      <c r="M75" t="s">
        <v>1023</v>
      </c>
      <c r="N75">
        <v>0.68579999999999997</v>
      </c>
      <c r="O75" s="8">
        <f>Table13456789101112132345[[#This Row],[Offloading Litres]]*Table13456789101112132345[[#This Row],[Rate]]</f>
        <v>27200.885399999999</v>
      </c>
      <c r="P75" s="9" t="s">
        <v>983</v>
      </c>
      <c r="Q75" t="s">
        <v>1135</v>
      </c>
    </row>
    <row r="76" spans="1:17" x14ac:dyDescent="0.3">
      <c r="A76" s="7">
        <v>45774</v>
      </c>
      <c r="B76" s="7">
        <v>45775</v>
      </c>
      <c r="C76" t="s">
        <v>17</v>
      </c>
      <c r="D76" t="s">
        <v>19</v>
      </c>
      <c r="E76" t="s">
        <v>617</v>
      </c>
      <c r="F76">
        <v>425185554</v>
      </c>
      <c r="G76">
        <v>802579867</v>
      </c>
      <c r="H76">
        <v>38750</v>
      </c>
      <c r="I76">
        <v>38879</v>
      </c>
      <c r="J76">
        <f>Table13456789101112132345[[#This Row],[Offloading Litres]]-Table13456789101112132345[[#This Row],[LOADED LITRES]]</f>
        <v>129</v>
      </c>
      <c r="K76" t="s">
        <v>32</v>
      </c>
      <c r="L76">
        <v>75616817</v>
      </c>
      <c r="M76" t="s">
        <v>1024</v>
      </c>
      <c r="N76">
        <v>0.68579999999999997</v>
      </c>
      <c r="O76" s="8">
        <f>Table13456789101112132345[[#This Row],[Offloading Litres]]*Table13456789101112132345[[#This Row],[Rate]]</f>
        <v>26663.218199999999</v>
      </c>
      <c r="P76" s="9" t="s">
        <v>984</v>
      </c>
      <c r="Q76" t="s">
        <v>1134</v>
      </c>
    </row>
    <row r="77" spans="1:17" x14ac:dyDescent="0.3">
      <c r="A77" s="7">
        <v>45775</v>
      </c>
      <c r="B77" s="7">
        <v>45777</v>
      </c>
      <c r="C77" t="s">
        <v>23</v>
      </c>
      <c r="D77" t="s">
        <v>27</v>
      </c>
      <c r="E77" t="s">
        <v>16</v>
      </c>
      <c r="F77">
        <v>425268067</v>
      </c>
      <c r="G77">
        <v>802581643</v>
      </c>
      <c r="H77">
        <v>38786</v>
      </c>
      <c r="I77">
        <v>38713</v>
      </c>
      <c r="J77">
        <f>Table13456789101112132345[[#This Row],[Offloading Litres]]-Table13456789101112132345[[#This Row],[LOADED LITRES]]</f>
        <v>-73</v>
      </c>
      <c r="K77" t="s">
        <v>32</v>
      </c>
      <c r="L77">
        <v>75618800</v>
      </c>
      <c r="M77" t="s">
        <v>1025</v>
      </c>
      <c r="N77">
        <v>0.68640000000000001</v>
      </c>
      <c r="O77" s="8">
        <f>Table13456789101112132345[[#This Row],[Offloading Litres]]*Table13456789101112132345[[#This Row],[Rate]]</f>
        <v>26572.603200000001</v>
      </c>
      <c r="P77" s="9" t="s">
        <v>985</v>
      </c>
      <c r="Q77" t="s">
        <v>1137</v>
      </c>
    </row>
    <row r="78" spans="1:17" x14ac:dyDescent="0.3">
      <c r="A78" s="7">
        <v>45776</v>
      </c>
      <c r="B78" s="7">
        <v>45777</v>
      </c>
      <c r="C78" t="s">
        <v>30</v>
      </c>
      <c r="D78" t="s">
        <v>26</v>
      </c>
      <c r="E78" t="s">
        <v>40</v>
      </c>
      <c r="F78">
        <v>425169579</v>
      </c>
      <c r="G78">
        <v>802585770</v>
      </c>
      <c r="H78">
        <v>43973</v>
      </c>
      <c r="I78">
        <v>44143</v>
      </c>
      <c r="J78">
        <f>Table13456789101112132345[[#This Row],[Offloading Litres]]-Table13456789101112132345[[#This Row],[LOADED LITRES]]</f>
        <v>170</v>
      </c>
      <c r="K78" t="s">
        <v>25</v>
      </c>
      <c r="L78">
        <v>75621971</v>
      </c>
      <c r="M78" t="s">
        <v>1026</v>
      </c>
      <c r="N78">
        <v>0.74219999999999997</v>
      </c>
      <c r="O78" s="8">
        <f>Table13456789101112132345[[#This Row],[Offloading Litres]]*Table13456789101112132345[[#This Row],[Rate]]</f>
        <v>32762.934600000001</v>
      </c>
      <c r="P78" s="9" t="s">
        <v>986</v>
      </c>
      <c r="Q78" t="s">
        <v>1141</v>
      </c>
    </row>
    <row r="79" spans="1:17" x14ac:dyDescent="0.3">
      <c r="A79" s="7">
        <v>45776</v>
      </c>
      <c r="B79" s="7">
        <v>45777</v>
      </c>
      <c r="C79" t="s">
        <v>34</v>
      </c>
      <c r="D79" t="s">
        <v>15</v>
      </c>
      <c r="E79" t="s">
        <v>16</v>
      </c>
      <c r="F79">
        <v>425268069</v>
      </c>
      <c r="G79">
        <v>802586496</v>
      </c>
      <c r="H79">
        <v>38784</v>
      </c>
      <c r="I79">
        <v>38766</v>
      </c>
      <c r="J79">
        <f>Table13456789101112132345[[#This Row],[Offloading Litres]]-Table13456789101112132345[[#This Row],[LOADED LITRES]]</f>
        <v>-18</v>
      </c>
      <c r="K79" t="s">
        <v>32</v>
      </c>
      <c r="L79">
        <v>75622822</v>
      </c>
      <c r="M79" t="s">
        <v>1027</v>
      </c>
      <c r="N79">
        <v>0.68640000000000001</v>
      </c>
      <c r="O79" s="8">
        <f>Table13456789101112132345[[#This Row],[Offloading Litres]]*Table13456789101112132345[[#This Row],[Rate]]</f>
        <v>26608.982400000001</v>
      </c>
      <c r="P79" s="9" t="s">
        <v>988</v>
      </c>
      <c r="Q79" t="s">
        <v>1140</v>
      </c>
    </row>
    <row r="80" spans="1:17" x14ac:dyDescent="0.3">
      <c r="A80" s="7">
        <v>45776</v>
      </c>
      <c r="B80" s="7">
        <v>45777</v>
      </c>
      <c r="C80" t="s">
        <v>28</v>
      </c>
      <c r="D80" t="s">
        <v>286</v>
      </c>
      <c r="E80" t="s">
        <v>40</v>
      </c>
      <c r="F80">
        <v>425169576</v>
      </c>
      <c r="G80">
        <v>802586469</v>
      </c>
      <c r="H80">
        <v>44252</v>
      </c>
      <c r="I80">
        <v>44462</v>
      </c>
      <c r="J80">
        <f>Table13456789101112132345[[#This Row],[Offloading Litres]]-Table13456789101112132345[[#This Row],[LOADED LITRES]]</f>
        <v>210</v>
      </c>
      <c r="K80" t="s">
        <v>25</v>
      </c>
      <c r="L80">
        <v>75622567</v>
      </c>
      <c r="M80" t="s">
        <v>1028</v>
      </c>
      <c r="N80">
        <v>0.74219999999999997</v>
      </c>
      <c r="O80" s="8">
        <f>Table13456789101112132345[[#This Row],[Offloading Litres]]*Table13456789101112132345[[#This Row],[Rate]]</f>
        <v>32999.696400000001</v>
      </c>
      <c r="P80" s="9" t="s">
        <v>990</v>
      </c>
      <c r="Q80" t="s">
        <v>1139</v>
      </c>
    </row>
    <row r="81" spans="1:17" x14ac:dyDescent="0.3">
      <c r="A81" s="11">
        <v>45776</v>
      </c>
      <c r="B81" s="11">
        <v>45777</v>
      </c>
      <c r="C81" s="12" t="s">
        <v>21</v>
      </c>
      <c r="D81" s="12" t="s">
        <v>624</v>
      </c>
      <c r="E81" s="12" t="s">
        <v>16</v>
      </c>
      <c r="F81" s="12">
        <v>425268068</v>
      </c>
      <c r="G81" s="12">
        <v>802587060</v>
      </c>
      <c r="H81" s="12">
        <v>39249</v>
      </c>
      <c r="I81" s="12">
        <v>39487</v>
      </c>
      <c r="J81" s="12">
        <f>Table13456789101112132345[[#This Row],[Offloading Litres]]-Table13456789101112132345[[#This Row],[LOADED LITRES]]</f>
        <v>238</v>
      </c>
      <c r="K81" s="12" t="s">
        <v>32</v>
      </c>
      <c r="L81" s="12">
        <v>75623066</v>
      </c>
      <c r="M81" t="s">
        <v>1029</v>
      </c>
      <c r="N81">
        <v>0.68640000000000001</v>
      </c>
      <c r="O81" s="8">
        <f>Table13456789101112132345[[#This Row],[Offloading Litres]]*Table13456789101112132345[[#This Row],[Rate]]</f>
        <v>27103.876800000002</v>
      </c>
      <c r="P81" s="9" t="s">
        <v>989</v>
      </c>
      <c r="Q81" t="s">
        <v>1138</v>
      </c>
    </row>
  </sheetData>
  <phoneticPr fontId="2" type="noConversion"/>
  <conditionalFormatting sqref="F1:G1">
    <cfRule type="duplicateValues" dxfId="24" priority="1"/>
  </conditionalFormatting>
  <conditionalFormatting sqref="G1">
    <cfRule type="duplicateValues" dxfId="23" priority="2"/>
  </conditionalFormatting>
  <conditionalFormatting sqref="L1">
    <cfRule type="duplicateValues" dxfId="22" priority="3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FC5B1-91ED-4092-BDBD-54D618E0A26D}">
  <dimension ref="A1:T80"/>
  <sheetViews>
    <sheetView topLeftCell="A54" workbookViewId="0">
      <selection activeCell="H67" sqref="H67"/>
    </sheetView>
  </sheetViews>
  <sheetFormatPr defaultRowHeight="14.4" x14ac:dyDescent="0.3"/>
  <cols>
    <col min="1" max="2" width="13.33203125" customWidth="1"/>
    <col min="3" max="3" width="9.88671875" customWidth="1"/>
    <col min="4" max="4" width="20.33203125" customWidth="1"/>
    <col min="5" max="5" width="22.88671875" customWidth="1"/>
    <col min="6" max="9" width="13.33203125" customWidth="1"/>
    <col min="10" max="10" width="9" customWidth="1"/>
    <col min="11" max="11" width="8.33203125" customWidth="1"/>
    <col min="12" max="12" width="10.44140625" customWidth="1"/>
    <col min="13" max="13" width="13.5546875" customWidth="1"/>
    <col min="14" max="14" width="9.44140625" customWidth="1"/>
    <col min="15" max="15" width="10.109375" style="8" customWidth="1"/>
    <col min="16" max="16" width="14.6640625" customWidth="1"/>
    <col min="17" max="17" width="10.6640625" customWidth="1"/>
    <col min="18" max="18" width="14.6640625" customWidth="1"/>
    <col min="19" max="19" width="9.33203125" customWidth="1"/>
  </cols>
  <sheetData>
    <row r="1" spans="1:20" ht="15.6" thickBot="1" x14ac:dyDescent="0.35">
      <c r="A1" s="1" t="s">
        <v>0</v>
      </c>
      <c r="B1" s="1" t="s">
        <v>1</v>
      </c>
      <c r="C1" s="2" t="s">
        <v>38</v>
      </c>
      <c r="D1" s="2" t="s">
        <v>2</v>
      </c>
      <c r="E1" s="2" t="s">
        <v>3</v>
      </c>
      <c r="F1" s="2" t="s">
        <v>37</v>
      </c>
      <c r="G1" s="2" t="s">
        <v>4</v>
      </c>
      <c r="H1" s="2" t="s">
        <v>36</v>
      </c>
      <c r="I1" s="2" t="s">
        <v>5</v>
      </c>
      <c r="J1" s="2" t="s">
        <v>6</v>
      </c>
      <c r="K1" s="2" t="s">
        <v>7</v>
      </c>
      <c r="L1" s="3" t="s">
        <v>8</v>
      </c>
      <c r="M1" s="2" t="s">
        <v>9</v>
      </c>
      <c r="N1" s="2" t="s">
        <v>10</v>
      </c>
      <c r="O1" s="4" t="s">
        <v>11</v>
      </c>
      <c r="P1" s="5" t="s">
        <v>12</v>
      </c>
      <c r="Q1" s="5" t="s">
        <v>18</v>
      </c>
      <c r="R1" s="2" t="s">
        <v>13</v>
      </c>
      <c r="S1" s="6" t="s">
        <v>20</v>
      </c>
      <c r="T1" s="6" t="s">
        <v>14</v>
      </c>
    </row>
    <row r="2" spans="1:20" ht="15" thickTop="1" x14ac:dyDescent="0.3">
      <c r="A2" s="7">
        <v>45778</v>
      </c>
      <c r="B2" s="7">
        <v>45779</v>
      </c>
      <c r="C2" t="s">
        <v>29</v>
      </c>
      <c r="D2" t="s">
        <v>24</v>
      </c>
      <c r="E2" t="s">
        <v>40</v>
      </c>
      <c r="F2">
        <v>425392513</v>
      </c>
      <c r="H2">
        <v>43875</v>
      </c>
      <c r="I2">
        <v>43862</v>
      </c>
      <c r="J2">
        <f>Table134567891011121323456[[#This Row],[Offloading Litres]]-Table134567891011121323456[[#This Row],[LOADED LITRES]]</f>
        <v>-13</v>
      </c>
      <c r="K2" t="s">
        <v>25</v>
      </c>
      <c r="L2">
        <v>75633768</v>
      </c>
      <c r="M2" t="s">
        <v>1189</v>
      </c>
      <c r="N2">
        <v>0.74219999999999997</v>
      </c>
      <c r="O2" s="8">
        <f>Table134567891011121323456[[#This Row],[Offloading Litres]]*Table134567891011121323456[[#This Row],[Rate]]</f>
        <v>32554.376399999997</v>
      </c>
      <c r="P2" s="9" t="s">
        <v>1031</v>
      </c>
      <c r="Q2" t="s">
        <v>1274</v>
      </c>
    </row>
    <row r="3" spans="1:20" x14ac:dyDescent="0.3">
      <c r="A3" s="7">
        <v>45778</v>
      </c>
      <c r="B3" s="7">
        <v>45779</v>
      </c>
      <c r="C3" t="s">
        <v>17</v>
      </c>
      <c r="D3" t="s">
        <v>19</v>
      </c>
      <c r="E3" t="s">
        <v>40</v>
      </c>
      <c r="F3">
        <v>425392509</v>
      </c>
      <c r="G3">
        <v>802599410</v>
      </c>
      <c r="H3">
        <v>43957</v>
      </c>
      <c r="I3">
        <v>43912</v>
      </c>
      <c r="J3">
        <f>Table134567891011121323456[[#This Row],[Offloading Litres]]-Table134567891011121323456[[#This Row],[LOADED LITRES]]</f>
        <v>-45</v>
      </c>
      <c r="K3" t="s">
        <v>25</v>
      </c>
      <c r="L3">
        <v>75633878</v>
      </c>
      <c r="M3" t="s">
        <v>1190</v>
      </c>
      <c r="N3">
        <v>0.74219999999999997</v>
      </c>
      <c r="O3" s="8">
        <f>Table134567891011121323456[[#This Row],[Offloading Litres]]*Table134567891011121323456[[#This Row],[Rate]]</f>
        <v>32591.486399999998</v>
      </c>
      <c r="P3" s="9" t="s">
        <v>1032</v>
      </c>
      <c r="Q3" t="s">
        <v>1273</v>
      </c>
    </row>
    <row r="4" spans="1:20" x14ac:dyDescent="0.3">
      <c r="A4" s="7">
        <v>45781</v>
      </c>
      <c r="B4" s="7">
        <v>45782</v>
      </c>
      <c r="C4" t="s">
        <v>17</v>
      </c>
      <c r="D4" t="s">
        <v>19</v>
      </c>
      <c r="E4" t="s">
        <v>16</v>
      </c>
      <c r="F4">
        <v>425740809</v>
      </c>
      <c r="G4">
        <v>802607044</v>
      </c>
      <c r="H4">
        <v>44229</v>
      </c>
      <c r="I4">
        <v>44032</v>
      </c>
      <c r="J4">
        <f>Table134567891011121323456[[#This Row],[Offloading Litres]]-Table134567891011121323456[[#This Row],[LOADED LITRES]]</f>
        <v>-197</v>
      </c>
      <c r="K4" t="s">
        <v>25</v>
      </c>
      <c r="L4">
        <v>75642523</v>
      </c>
      <c r="M4" t="s">
        <v>1191</v>
      </c>
      <c r="N4">
        <v>0.68640000000000001</v>
      </c>
      <c r="O4" s="8">
        <f>Table134567891011121323456[[#This Row],[Offloading Litres]]*Table134567891011121323456[[#This Row],[Rate]]</f>
        <v>30223.5648</v>
      </c>
      <c r="P4" s="9" t="s">
        <v>1033</v>
      </c>
      <c r="Q4" t="s">
        <v>1278</v>
      </c>
    </row>
    <row r="5" spans="1:20" x14ac:dyDescent="0.3">
      <c r="A5" s="7">
        <v>45781</v>
      </c>
      <c r="B5" s="7">
        <v>45782</v>
      </c>
      <c r="C5" t="s">
        <v>28</v>
      </c>
      <c r="D5" t="s">
        <v>286</v>
      </c>
      <c r="E5" t="s">
        <v>16</v>
      </c>
      <c r="F5">
        <v>425740803</v>
      </c>
      <c r="G5">
        <v>802607041</v>
      </c>
      <c r="H5">
        <v>39763</v>
      </c>
      <c r="I5">
        <v>39654</v>
      </c>
      <c r="J5">
        <f>Table134567891011121323456[[#This Row],[Offloading Litres]]-Table134567891011121323456[[#This Row],[LOADED LITRES]]</f>
        <v>-109</v>
      </c>
      <c r="K5" t="s">
        <v>32</v>
      </c>
      <c r="L5">
        <v>75642507</v>
      </c>
      <c r="M5" t="s">
        <v>1192</v>
      </c>
      <c r="N5">
        <v>0.68640000000000001</v>
      </c>
      <c r="O5" s="8">
        <f>Table134567891011121323456[[#This Row],[Offloading Litres]]*Table134567891011121323456[[#This Row],[Rate]]</f>
        <v>27218.5056</v>
      </c>
      <c r="P5" s="9" t="s">
        <v>1035</v>
      </c>
      <c r="Q5" t="s">
        <v>1279</v>
      </c>
    </row>
    <row r="6" spans="1:20" x14ac:dyDescent="0.3">
      <c r="A6" s="7">
        <v>45781</v>
      </c>
      <c r="B6" s="7">
        <v>45783</v>
      </c>
      <c r="C6" t="s">
        <v>103</v>
      </c>
      <c r="D6" t="s">
        <v>349</v>
      </c>
      <c r="E6" t="s">
        <v>16</v>
      </c>
      <c r="F6">
        <v>425740808</v>
      </c>
      <c r="G6">
        <v>802607047</v>
      </c>
      <c r="H6">
        <v>44512</v>
      </c>
      <c r="I6">
        <v>44551</v>
      </c>
      <c r="J6">
        <f>Table134567891011121323456[[#This Row],[Offloading Litres]]-Table134567891011121323456[[#This Row],[LOADED LITRES]]</f>
        <v>39</v>
      </c>
      <c r="K6" t="s">
        <v>25</v>
      </c>
      <c r="L6">
        <v>75642528</v>
      </c>
      <c r="M6" t="s">
        <v>1193</v>
      </c>
      <c r="N6">
        <v>0.68640000000000001</v>
      </c>
      <c r="O6" s="8">
        <f>Table134567891011121323456[[#This Row],[Offloading Litres]]*Table134567891011121323456[[#This Row],[Rate]]</f>
        <v>30579.806400000001</v>
      </c>
      <c r="P6" s="9" t="s">
        <v>1037</v>
      </c>
      <c r="Q6" t="s">
        <v>1289</v>
      </c>
    </row>
    <row r="7" spans="1:20" x14ac:dyDescent="0.3">
      <c r="A7" s="7">
        <v>45781</v>
      </c>
      <c r="B7" s="7">
        <v>45782</v>
      </c>
      <c r="C7" t="s">
        <v>29</v>
      </c>
      <c r="D7" t="s">
        <v>24</v>
      </c>
      <c r="E7" t="s">
        <v>16</v>
      </c>
      <c r="F7">
        <v>425740804</v>
      </c>
      <c r="G7">
        <v>802607166</v>
      </c>
      <c r="H7">
        <v>39647</v>
      </c>
      <c r="I7">
        <v>39580</v>
      </c>
      <c r="J7">
        <f>Table134567891011121323456[[#This Row],[Offloading Litres]]-Table134567891011121323456[[#This Row],[LOADED LITRES]]</f>
        <v>-67</v>
      </c>
      <c r="K7" t="s">
        <v>32</v>
      </c>
      <c r="L7">
        <v>75642668</v>
      </c>
      <c r="M7" t="s">
        <v>1194</v>
      </c>
      <c r="N7">
        <v>0.68640000000000001</v>
      </c>
      <c r="O7" s="8">
        <f>Table134567891011121323456[[#This Row],[Offloading Litres]]*Table134567891011121323456[[#This Row],[Rate]]</f>
        <v>27167.712</v>
      </c>
      <c r="P7" s="9" t="s">
        <v>1034</v>
      </c>
      <c r="Q7" t="s">
        <v>1272</v>
      </c>
    </row>
    <row r="8" spans="1:20" x14ac:dyDescent="0.3">
      <c r="A8" s="7">
        <v>45781</v>
      </c>
      <c r="B8" s="7">
        <v>45783</v>
      </c>
      <c r="C8" t="s">
        <v>34</v>
      </c>
      <c r="D8" t="s">
        <v>15</v>
      </c>
      <c r="E8" t="s">
        <v>16</v>
      </c>
      <c r="F8">
        <v>425740807</v>
      </c>
      <c r="G8">
        <v>802607505</v>
      </c>
      <c r="H8">
        <v>38832</v>
      </c>
      <c r="I8">
        <v>38794</v>
      </c>
      <c r="J8">
        <f>Table134567891011121323456[[#This Row],[Offloading Litres]]-Table134567891011121323456[[#This Row],[LOADED LITRES]]</f>
        <v>-38</v>
      </c>
      <c r="K8" t="s">
        <v>32</v>
      </c>
      <c r="L8">
        <v>75643088</v>
      </c>
      <c r="M8" t="s">
        <v>1195</v>
      </c>
      <c r="N8">
        <v>0.68640000000000001</v>
      </c>
      <c r="O8" s="8">
        <f>Table134567891011121323456[[#This Row],[Offloading Litres]]*Table134567891011121323456[[#This Row],[Rate]]</f>
        <v>26628.2016</v>
      </c>
      <c r="P8" s="9" t="s">
        <v>1036</v>
      </c>
      <c r="Q8" t="s">
        <v>1275</v>
      </c>
    </row>
    <row r="9" spans="1:20" x14ac:dyDescent="0.3">
      <c r="A9" s="7">
        <v>45781</v>
      </c>
      <c r="B9" s="7">
        <v>45784</v>
      </c>
      <c r="C9" t="s">
        <v>21</v>
      </c>
      <c r="D9" t="s">
        <v>27</v>
      </c>
      <c r="E9" t="s">
        <v>16</v>
      </c>
      <c r="F9">
        <v>425740805</v>
      </c>
      <c r="G9">
        <v>802607515</v>
      </c>
      <c r="H9">
        <v>39353</v>
      </c>
      <c r="I9">
        <v>39474</v>
      </c>
      <c r="J9">
        <f>Table134567891011121323456[[#This Row],[Offloading Litres]]-Table134567891011121323456[[#This Row],[LOADED LITRES]]</f>
        <v>121</v>
      </c>
      <c r="K9" t="s">
        <v>32</v>
      </c>
      <c r="L9">
        <v>75643102</v>
      </c>
      <c r="M9" t="s">
        <v>1196</v>
      </c>
      <c r="N9">
        <v>0.68640000000000001</v>
      </c>
      <c r="O9" s="8">
        <f>Table134567891011121323456[[#This Row],[Offloading Litres]]*Table134567891011121323456[[#This Row],[Rate]]</f>
        <v>27094.953600000001</v>
      </c>
      <c r="P9" s="9" t="s">
        <v>1038</v>
      </c>
      <c r="Q9" t="s">
        <v>1276</v>
      </c>
    </row>
    <row r="10" spans="1:20" x14ac:dyDescent="0.3">
      <c r="A10" s="7">
        <v>45781</v>
      </c>
      <c r="B10" s="7">
        <v>45783</v>
      </c>
      <c r="C10" t="s">
        <v>23</v>
      </c>
      <c r="D10" t="s">
        <v>287</v>
      </c>
      <c r="E10" t="s">
        <v>16</v>
      </c>
      <c r="F10">
        <v>425740806</v>
      </c>
      <c r="G10">
        <v>802607550</v>
      </c>
      <c r="H10">
        <v>38846</v>
      </c>
      <c r="I10">
        <v>38759</v>
      </c>
      <c r="J10">
        <f>Table134567891011121323456[[#This Row],[Offloading Litres]]-Table134567891011121323456[[#This Row],[LOADED LITRES]]</f>
        <v>-87</v>
      </c>
      <c r="K10" t="s">
        <v>32</v>
      </c>
      <c r="L10">
        <v>75643130</v>
      </c>
      <c r="M10" t="s">
        <v>1197</v>
      </c>
      <c r="N10">
        <v>0.68640000000000001</v>
      </c>
      <c r="O10" s="8">
        <f>Table134567891011121323456[[#This Row],[Offloading Litres]]*Table134567891011121323456[[#This Row],[Rate]]</f>
        <v>26604.177599999999</v>
      </c>
      <c r="P10" s="9" t="s">
        <v>1040</v>
      </c>
      <c r="Q10" t="s">
        <v>1277</v>
      </c>
    </row>
    <row r="11" spans="1:20" x14ac:dyDescent="0.3">
      <c r="A11" s="7">
        <v>45782</v>
      </c>
      <c r="B11" s="7">
        <v>45784</v>
      </c>
      <c r="C11" t="s">
        <v>30</v>
      </c>
      <c r="D11" t="s">
        <v>26</v>
      </c>
      <c r="E11" t="s">
        <v>16</v>
      </c>
      <c r="F11">
        <v>425740802</v>
      </c>
      <c r="G11">
        <v>802608621</v>
      </c>
      <c r="H11">
        <v>38891</v>
      </c>
      <c r="I11">
        <v>38820</v>
      </c>
      <c r="J11">
        <f>Table134567891011121323456[[#This Row],[Offloading Litres]]-Table134567891011121323456[[#This Row],[LOADED LITRES]]</f>
        <v>-71</v>
      </c>
      <c r="K11" t="s">
        <v>32</v>
      </c>
      <c r="L11">
        <v>75644323</v>
      </c>
      <c r="M11" t="s">
        <v>1198</v>
      </c>
      <c r="N11">
        <v>0.68640000000000001</v>
      </c>
      <c r="O11" s="8">
        <f>Table134567891011121323456[[#This Row],[Offloading Litres]]*Table134567891011121323456[[#This Row],[Rate]]</f>
        <v>26646.047999999999</v>
      </c>
      <c r="P11" s="9" t="s">
        <v>1039</v>
      </c>
      <c r="Q11" t="s">
        <v>1288</v>
      </c>
    </row>
    <row r="12" spans="1:20" x14ac:dyDescent="0.3">
      <c r="A12" s="7">
        <v>45784</v>
      </c>
      <c r="B12" s="7">
        <v>45785</v>
      </c>
      <c r="C12" t="s">
        <v>28</v>
      </c>
      <c r="D12" t="s">
        <v>286</v>
      </c>
      <c r="E12" t="s">
        <v>40</v>
      </c>
      <c r="F12">
        <v>425392539</v>
      </c>
      <c r="G12">
        <v>802616364</v>
      </c>
      <c r="H12">
        <v>44404</v>
      </c>
      <c r="I12">
        <v>44530</v>
      </c>
      <c r="J12">
        <f>Table134567891011121323456[[#This Row],[Offloading Litres]]-Table134567891011121323456[[#This Row],[LOADED LITRES]]</f>
        <v>126</v>
      </c>
      <c r="K12" t="s">
        <v>25</v>
      </c>
      <c r="L12">
        <v>75652227</v>
      </c>
      <c r="M12" t="s">
        <v>1199</v>
      </c>
      <c r="N12">
        <v>0.74219999999999997</v>
      </c>
      <c r="O12" s="8">
        <f>Table134567891011121323456[[#This Row],[Offloading Litres]]*Table134567891011121323456[[#This Row],[Rate]]</f>
        <v>33050.165999999997</v>
      </c>
      <c r="P12" s="9" t="s">
        <v>1041</v>
      </c>
      <c r="Q12" t="s">
        <v>1286</v>
      </c>
    </row>
    <row r="13" spans="1:20" x14ac:dyDescent="0.3">
      <c r="A13" s="7">
        <v>45784</v>
      </c>
      <c r="B13" s="7">
        <v>45786</v>
      </c>
      <c r="C13" t="s">
        <v>17</v>
      </c>
      <c r="D13" t="s">
        <v>19</v>
      </c>
      <c r="E13" t="s">
        <v>40</v>
      </c>
      <c r="F13">
        <v>425783283</v>
      </c>
      <c r="G13">
        <v>802616504</v>
      </c>
      <c r="H13">
        <v>44168</v>
      </c>
      <c r="I13">
        <v>44023</v>
      </c>
      <c r="J13">
        <f>Table134567891011121323456[[#This Row],[Offloading Litres]]-Table134567891011121323456[[#This Row],[LOADED LITRES]]</f>
        <v>-145</v>
      </c>
      <c r="K13" t="s">
        <v>25</v>
      </c>
      <c r="L13">
        <v>75652326</v>
      </c>
      <c r="M13" t="s">
        <v>1200</v>
      </c>
      <c r="N13">
        <v>0.74219999999999997</v>
      </c>
      <c r="O13" s="8">
        <f>Table134567891011121323456[[#This Row],[Offloading Litres]]*Table134567891011121323456[[#This Row],[Rate]]</f>
        <v>32673.870599999998</v>
      </c>
      <c r="P13" s="9" t="s">
        <v>1043</v>
      </c>
      <c r="Q13" t="s">
        <v>1284</v>
      </c>
    </row>
    <row r="14" spans="1:20" x14ac:dyDescent="0.3">
      <c r="A14" s="7">
        <v>45784</v>
      </c>
      <c r="B14" s="7">
        <v>45786</v>
      </c>
      <c r="C14" t="s">
        <v>34</v>
      </c>
      <c r="D14" t="s">
        <v>35</v>
      </c>
      <c r="E14" t="s">
        <v>40</v>
      </c>
      <c r="F14">
        <v>425392537</v>
      </c>
      <c r="G14">
        <v>802618331</v>
      </c>
      <c r="H14">
        <v>43900</v>
      </c>
      <c r="I14">
        <v>43921</v>
      </c>
      <c r="J14">
        <f>Table134567891011121323456[[#This Row],[Offloading Litres]]-Table134567891011121323456[[#This Row],[LOADED LITRES]]</f>
        <v>21</v>
      </c>
      <c r="K14" t="s">
        <v>25</v>
      </c>
      <c r="L14">
        <v>75654238</v>
      </c>
      <c r="M14" t="s">
        <v>1201</v>
      </c>
      <c r="N14">
        <v>0.74219999999999997</v>
      </c>
      <c r="O14" s="8">
        <f>Table134567891011121323456[[#This Row],[Offloading Litres]]*Table134567891011121323456[[#This Row],[Rate]]</f>
        <v>32598.1662</v>
      </c>
      <c r="P14" s="9" t="s">
        <v>1044</v>
      </c>
      <c r="Q14" t="s">
        <v>1285</v>
      </c>
    </row>
    <row r="15" spans="1:20" x14ac:dyDescent="0.3">
      <c r="A15" s="7">
        <v>45784</v>
      </c>
      <c r="B15" s="7">
        <v>45787</v>
      </c>
      <c r="C15" t="s">
        <v>21</v>
      </c>
      <c r="D15" t="s">
        <v>27</v>
      </c>
      <c r="E15" t="s">
        <v>40</v>
      </c>
      <c r="F15">
        <v>425783282</v>
      </c>
      <c r="G15">
        <v>802620977</v>
      </c>
      <c r="H15">
        <v>44659</v>
      </c>
      <c r="I15">
        <v>44755</v>
      </c>
      <c r="J15">
        <f>Table134567891011121323456[[#This Row],[Offloading Litres]]-Table134567891011121323456[[#This Row],[LOADED LITRES]]</f>
        <v>96</v>
      </c>
      <c r="K15" t="s">
        <v>25</v>
      </c>
      <c r="L15">
        <v>75657406</v>
      </c>
      <c r="M15" t="s">
        <v>1202</v>
      </c>
      <c r="N15">
        <v>0.74219999999999997</v>
      </c>
      <c r="O15" s="8">
        <f>Table134567891011121323456[[#This Row],[Offloading Litres]]*Table134567891011121323456[[#This Row],[Rate]]</f>
        <v>33217.161</v>
      </c>
      <c r="P15" s="9" t="s">
        <v>1047</v>
      </c>
      <c r="Q15" t="s">
        <v>1291</v>
      </c>
    </row>
    <row r="16" spans="1:20" x14ac:dyDescent="0.3">
      <c r="A16" s="7">
        <v>45784</v>
      </c>
      <c r="B16" s="7">
        <v>45785</v>
      </c>
      <c r="C16" t="s">
        <v>23</v>
      </c>
      <c r="D16" t="s">
        <v>97</v>
      </c>
      <c r="E16" t="s">
        <v>16</v>
      </c>
      <c r="F16">
        <v>425839291</v>
      </c>
      <c r="G16">
        <v>802621082</v>
      </c>
      <c r="H16">
        <v>38798</v>
      </c>
      <c r="I16">
        <v>38881</v>
      </c>
      <c r="J16">
        <f>Table134567891011121323456[[#This Row],[Offloading Litres]]-Table134567891011121323456[[#This Row],[LOADED LITRES]]</f>
        <v>83</v>
      </c>
      <c r="K16" t="s">
        <v>32</v>
      </c>
      <c r="L16">
        <v>75657521</v>
      </c>
      <c r="M16" t="s">
        <v>1203</v>
      </c>
      <c r="N16">
        <v>0.68640000000000001</v>
      </c>
      <c r="O16" s="8">
        <f>Table134567891011121323456[[#This Row],[Offloading Litres]]*Table134567891011121323456[[#This Row],[Rate]]</f>
        <v>26687.918399999999</v>
      </c>
      <c r="P16" s="9" t="s">
        <v>1042</v>
      </c>
      <c r="Q16" t="s">
        <v>1287</v>
      </c>
    </row>
    <row r="17" spans="1:17" x14ac:dyDescent="0.3">
      <c r="A17" s="7">
        <v>45785</v>
      </c>
      <c r="B17" s="7">
        <v>45787</v>
      </c>
      <c r="C17" t="s">
        <v>30</v>
      </c>
      <c r="D17" t="s">
        <v>26</v>
      </c>
      <c r="E17" t="s">
        <v>16</v>
      </c>
      <c r="F17">
        <v>425839292</v>
      </c>
      <c r="G17">
        <v>802625368</v>
      </c>
      <c r="H17">
        <v>38798</v>
      </c>
      <c r="I17">
        <v>38819</v>
      </c>
      <c r="J17">
        <f>Table134567891011121323456[[#This Row],[Offloading Litres]]-Table134567891011121323456[[#This Row],[LOADED LITRES]]</f>
        <v>21</v>
      </c>
      <c r="K17" t="s">
        <v>32</v>
      </c>
      <c r="L17">
        <v>75662532</v>
      </c>
      <c r="M17" t="s">
        <v>1204</v>
      </c>
      <c r="N17">
        <v>0.68640000000000001</v>
      </c>
      <c r="O17" s="8">
        <f>Table134567891011121323456[[#This Row],[Offloading Litres]]*Table134567891011121323456[[#This Row],[Rate]]</f>
        <v>26645.3616</v>
      </c>
      <c r="P17" s="9" t="s">
        <v>1045</v>
      </c>
      <c r="Q17" t="s">
        <v>1283</v>
      </c>
    </row>
    <row r="18" spans="1:17" x14ac:dyDescent="0.3">
      <c r="A18" s="7">
        <v>45786</v>
      </c>
      <c r="B18" s="7">
        <v>45787</v>
      </c>
      <c r="C18" t="s">
        <v>22</v>
      </c>
      <c r="D18" t="s">
        <v>33</v>
      </c>
      <c r="E18" t="s">
        <v>16</v>
      </c>
      <c r="F18">
        <v>425839486</v>
      </c>
      <c r="G18">
        <v>802627248</v>
      </c>
      <c r="H18">
        <v>44149</v>
      </c>
      <c r="I18">
        <v>43959</v>
      </c>
      <c r="J18">
        <f>Table134567891011121323456[[#This Row],[Offloading Litres]]-Table134567891011121323456[[#This Row],[LOADED LITRES]]</f>
        <v>-190</v>
      </c>
      <c r="K18" t="s">
        <v>25</v>
      </c>
      <c r="L18">
        <v>75664486</v>
      </c>
      <c r="M18" t="s">
        <v>1205</v>
      </c>
      <c r="N18">
        <v>0.68640000000000001</v>
      </c>
      <c r="O18" s="8">
        <f>Table134567891011121323456[[#This Row],[Offloading Litres]]*Table134567891011121323456[[#This Row],[Rate]]</f>
        <v>30173.457600000002</v>
      </c>
      <c r="P18" s="9" t="s">
        <v>1046</v>
      </c>
      <c r="Q18" t="s">
        <v>1290</v>
      </c>
    </row>
    <row r="19" spans="1:17" x14ac:dyDescent="0.3">
      <c r="A19" s="7">
        <v>45786</v>
      </c>
      <c r="B19" s="7">
        <v>45789</v>
      </c>
      <c r="C19" t="s">
        <v>28</v>
      </c>
      <c r="D19" t="s">
        <v>286</v>
      </c>
      <c r="E19" t="s">
        <v>16</v>
      </c>
      <c r="F19">
        <v>425839293</v>
      </c>
      <c r="G19">
        <v>802630618</v>
      </c>
      <c r="H19">
        <v>39573</v>
      </c>
      <c r="I19">
        <v>39402</v>
      </c>
      <c r="J19">
        <f>Table134567891011121323456[[#This Row],[Offloading Litres]]-Table134567891011121323456[[#This Row],[LOADED LITRES]]</f>
        <v>-171</v>
      </c>
      <c r="K19" t="s">
        <v>32</v>
      </c>
      <c r="L19">
        <v>75668237</v>
      </c>
      <c r="M19" t="s">
        <v>1206</v>
      </c>
      <c r="N19">
        <v>0.68640000000000001</v>
      </c>
      <c r="O19" s="8">
        <f>Table134567891011121323456[[#This Row],[Offloading Litres]]*Table134567891011121323456[[#This Row],[Rate]]</f>
        <v>27045.532800000001</v>
      </c>
      <c r="P19" s="9" t="s">
        <v>1049</v>
      </c>
      <c r="Q19" t="s">
        <v>1298</v>
      </c>
    </row>
    <row r="20" spans="1:17" x14ac:dyDescent="0.3">
      <c r="A20" s="7">
        <v>45787</v>
      </c>
      <c r="B20" s="7">
        <v>45789</v>
      </c>
      <c r="C20" t="s">
        <v>29</v>
      </c>
      <c r="D20" t="s">
        <v>24</v>
      </c>
      <c r="E20" t="s">
        <v>16</v>
      </c>
      <c r="F20">
        <v>425839487</v>
      </c>
      <c r="G20">
        <v>802631076</v>
      </c>
      <c r="H20">
        <v>44386</v>
      </c>
      <c r="I20">
        <v>43945</v>
      </c>
      <c r="J20">
        <f>Table134567891011121323456[[#This Row],[Offloading Litres]]-Table134567891011121323456[[#This Row],[LOADED LITRES]]</f>
        <v>-441</v>
      </c>
      <c r="K20" t="s">
        <v>25</v>
      </c>
      <c r="L20">
        <v>75668808</v>
      </c>
      <c r="M20" t="s">
        <v>1207</v>
      </c>
      <c r="N20">
        <v>0.68640000000000001</v>
      </c>
      <c r="O20" s="8">
        <f>Table134567891011121323456[[#This Row],[Offloading Litres]]*Table134567891011121323456[[#This Row],[Rate]]</f>
        <v>30163.848000000002</v>
      </c>
      <c r="P20" s="9" t="s">
        <v>1050</v>
      </c>
      <c r="Q20" t="s">
        <v>1297</v>
      </c>
    </row>
    <row r="21" spans="1:17" x14ac:dyDescent="0.3">
      <c r="A21" s="7">
        <v>45787</v>
      </c>
      <c r="B21" s="7">
        <v>45790</v>
      </c>
      <c r="C21" t="s">
        <v>23</v>
      </c>
      <c r="D21" t="s">
        <v>97</v>
      </c>
      <c r="E21" t="s">
        <v>16</v>
      </c>
      <c r="F21">
        <v>425839328</v>
      </c>
      <c r="G21">
        <v>802631586</v>
      </c>
      <c r="H21">
        <v>38758</v>
      </c>
      <c r="I21">
        <v>38448</v>
      </c>
      <c r="J21">
        <f>Table134567891011121323456[[#This Row],[Offloading Litres]]-Table134567891011121323456[[#This Row],[LOADED LITRES]]</f>
        <v>-310</v>
      </c>
      <c r="K21" t="s">
        <v>32</v>
      </c>
      <c r="L21">
        <v>75669409</v>
      </c>
      <c r="M21" t="s">
        <v>1208</v>
      </c>
      <c r="N21">
        <v>0.68640000000000001</v>
      </c>
      <c r="O21" s="8">
        <f>Table134567891011121323456[[#This Row],[Offloading Litres]]*Table134567891011121323456[[#This Row],[Rate]]</f>
        <v>26390.707200000001</v>
      </c>
      <c r="P21" s="9" t="s">
        <v>1054</v>
      </c>
      <c r="Q21" t="s">
        <v>1281</v>
      </c>
    </row>
    <row r="22" spans="1:17" x14ac:dyDescent="0.3">
      <c r="A22" s="7">
        <v>45787</v>
      </c>
      <c r="B22" s="7">
        <v>45788</v>
      </c>
      <c r="C22" t="s">
        <v>17</v>
      </c>
      <c r="D22" t="s">
        <v>19</v>
      </c>
      <c r="E22" t="s">
        <v>40</v>
      </c>
      <c r="F22">
        <v>425823478</v>
      </c>
      <c r="G22">
        <v>802631443</v>
      </c>
      <c r="H22">
        <v>38775</v>
      </c>
      <c r="I22">
        <v>38856</v>
      </c>
      <c r="J22">
        <f>Table134567891011121323456[[#This Row],[Offloading Litres]]-Table134567891011121323456[[#This Row],[LOADED LITRES]]</f>
        <v>81</v>
      </c>
      <c r="K22" t="s">
        <v>32</v>
      </c>
      <c r="L22">
        <v>75669209</v>
      </c>
      <c r="M22" t="s">
        <v>1209</v>
      </c>
      <c r="N22">
        <v>0.74219999999999997</v>
      </c>
      <c r="O22" s="8">
        <f>Table134567891011121323456[[#This Row],[Offloading Litres]]*Table134567891011121323456[[#This Row],[Rate]]</f>
        <v>28838.923199999997</v>
      </c>
      <c r="P22" s="9" t="s">
        <v>1048</v>
      </c>
      <c r="Q22" t="s">
        <v>1280</v>
      </c>
    </row>
    <row r="23" spans="1:17" x14ac:dyDescent="0.3">
      <c r="A23" s="7">
        <v>45787</v>
      </c>
      <c r="B23" s="7">
        <v>45789</v>
      </c>
      <c r="C23" t="s">
        <v>30</v>
      </c>
      <c r="D23" t="s">
        <v>35</v>
      </c>
      <c r="E23" t="s">
        <v>40</v>
      </c>
      <c r="F23">
        <v>425823471</v>
      </c>
      <c r="G23">
        <v>802632856</v>
      </c>
      <c r="H23">
        <v>38750</v>
      </c>
      <c r="I23">
        <v>38833</v>
      </c>
      <c r="J23">
        <f>Table134567891011121323456[[#This Row],[Offloading Litres]]-Table134567891011121323456[[#This Row],[LOADED LITRES]]</f>
        <v>83</v>
      </c>
      <c r="K23" t="s">
        <v>32</v>
      </c>
      <c r="L23">
        <v>75670878</v>
      </c>
      <c r="M23" t="s">
        <v>1210</v>
      </c>
      <c r="N23">
        <v>0.74219999999999997</v>
      </c>
      <c r="O23" s="8">
        <f>Table134567891011121323456[[#This Row],[Offloading Litres]]*Table134567891011121323456[[#This Row],[Rate]]</f>
        <v>28821.852599999998</v>
      </c>
      <c r="P23" s="9" t="s">
        <v>1051</v>
      </c>
      <c r="Q23" t="s">
        <v>1293</v>
      </c>
    </row>
    <row r="24" spans="1:17" x14ac:dyDescent="0.3">
      <c r="A24" s="7">
        <v>45787</v>
      </c>
      <c r="B24" s="7">
        <v>45790</v>
      </c>
      <c r="C24" t="s">
        <v>103</v>
      </c>
      <c r="D24" t="s">
        <v>624</v>
      </c>
      <c r="E24" t="s">
        <v>16</v>
      </c>
      <c r="F24">
        <v>425839330</v>
      </c>
      <c r="G24">
        <v>802632588</v>
      </c>
      <c r="H24">
        <v>39216</v>
      </c>
      <c r="I24">
        <v>39174</v>
      </c>
      <c r="J24">
        <f>Table134567891011121323456[[#This Row],[Offloading Litres]]-Table134567891011121323456[[#This Row],[LOADED LITRES]]</f>
        <v>-42</v>
      </c>
      <c r="K24" t="s">
        <v>32</v>
      </c>
      <c r="L24">
        <v>75670575</v>
      </c>
      <c r="M24" t="s">
        <v>1211</v>
      </c>
      <c r="N24">
        <v>0.68640000000000001</v>
      </c>
      <c r="O24" s="8">
        <f>Table134567891011121323456[[#This Row],[Offloading Litres]]*Table134567891011121323456[[#This Row],[Rate]]</f>
        <v>26889.033599999999</v>
      </c>
      <c r="P24" s="9" t="s">
        <v>1056</v>
      </c>
      <c r="Q24" t="s">
        <v>1294</v>
      </c>
    </row>
    <row r="25" spans="1:17" s="12" customFormat="1" x14ac:dyDescent="0.3">
      <c r="A25" s="11">
        <v>45787</v>
      </c>
      <c r="B25" s="11">
        <v>45790</v>
      </c>
      <c r="C25" s="12" t="s">
        <v>34</v>
      </c>
      <c r="D25" s="12" t="s">
        <v>26</v>
      </c>
      <c r="E25" s="12" t="s">
        <v>16</v>
      </c>
      <c r="F25" s="12">
        <v>425833329</v>
      </c>
      <c r="G25" s="12">
        <v>802632902</v>
      </c>
      <c r="H25" s="12">
        <v>38758</v>
      </c>
      <c r="I25" s="12">
        <v>38531</v>
      </c>
      <c r="J25" s="12">
        <f>Table134567891011121323456[[#This Row],[Offloading Litres]]-Table134567891011121323456[[#This Row],[LOADED LITRES]]</f>
        <v>-227</v>
      </c>
      <c r="K25" s="12" t="s">
        <v>32</v>
      </c>
      <c r="L25" s="12">
        <v>75670051</v>
      </c>
      <c r="M25" s="12" t="s">
        <v>1212</v>
      </c>
      <c r="N25" s="12">
        <v>0.68640000000000001</v>
      </c>
      <c r="O25" s="13">
        <f>Table134567891011121323456[[#This Row],[Offloading Litres]]*Table134567891011121323456[[#This Row],[Rate]]</f>
        <v>26447.678400000001</v>
      </c>
      <c r="P25" s="14" t="s">
        <v>1055</v>
      </c>
      <c r="Q25" s="12" t="s">
        <v>1295</v>
      </c>
    </row>
    <row r="26" spans="1:17" x14ac:dyDescent="0.3">
      <c r="A26" s="7">
        <v>45788</v>
      </c>
      <c r="B26" s="7">
        <v>45790</v>
      </c>
      <c r="C26" t="s">
        <v>28</v>
      </c>
      <c r="D26" t="s">
        <v>33</v>
      </c>
      <c r="E26" t="s">
        <v>40</v>
      </c>
      <c r="F26">
        <v>425835944</v>
      </c>
      <c r="G26">
        <v>802633317</v>
      </c>
      <c r="H26">
        <v>44081</v>
      </c>
      <c r="I26">
        <v>43841</v>
      </c>
      <c r="J26">
        <f>Table134567891011121323456[[#This Row],[Offloading Litres]]-Table134567891011121323456[[#This Row],[LOADED LITRES]]</f>
        <v>-240</v>
      </c>
      <c r="K26" t="s">
        <v>25</v>
      </c>
      <c r="L26">
        <v>75671418</v>
      </c>
      <c r="M26" t="s">
        <v>1213</v>
      </c>
      <c r="N26">
        <v>0.74219999999999997</v>
      </c>
      <c r="O26" s="8">
        <f>Table134567891011121323456[[#This Row],[Offloading Litres]]*Table134567891011121323456[[#This Row],[Rate]]</f>
        <v>32538.790199999999</v>
      </c>
      <c r="P26" s="9" t="s">
        <v>1053</v>
      </c>
      <c r="Q26" t="s">
        <v>1282</v>
      </c>
    </row>
    <row r="27" spans="1:17" x14ac:dyDescent="0.3">
      <c r="A27" s="7">
        <v>45788</v>
      </c>
      <c r="B27" s="7">
        <v>45789</v>
      </c>
      <c r="C27" t="s">
        <v>21</v>
      </c>
      <c r="D27" t="s">
        <v>27</v>
      </c>
      <c r="E27" t="s">
        <v>40</v>
      </c>
      <c r="F27">
        <v>425835938</v>
      </c>
      <c r="G27">
        <v>802633604</v>
      </c>
      <c r="H27">
        <v>44505</v>
      </c>
      <c r="I27">
        <v>44586</v>
      </c>
      <c r="J27">
        <f>Table134567891011121323456[[#This Row],[Offloading Litres]]-Table134567891011121323456[[#This Row],[LOADED LITRES]]</f>
        <v>81</v>
      </c>
      <c r="K27" t="s">
        <v>25</v>
      </c>
      <c r="L27">
        <v>75671858</v>
      </c>
      <c r="M27" t="s">
        <v>1214</v>
      </c>
      <c r="N27">
        <v>0.74219999999999997</v>
      </c>
      <c r="O27" s="8">
        <f>Table134567891011121323456[[#This Row],[Offloading Litres]]*Table134567891011121323456[[#This Row],[Rate]]</f>
        <v>33091.729200000002</v>
      </c>
      <c r="P27" s="9" t="s">
        <v>1052</v>
      </c>
      <c r="Q27" t="s">
        <v>1296</v>
      </c>
    </row>
    <row r="28" spans="1:17" x14ac:dyDescent="0.3">
      <c r="A28" s="7">
        <v>45788</v>
      </c>
      <c r="B28" s="7">
        <v>45791</v>
      </c>
      <c r="C28" t="s">
        <v>29</v>
      </c>
      <c r="D28" t="s">
        <v>24</v>
      </c>
      <c r="E28" t="s">
        <v>40</v>
      </c>
      <c r="F28">
        <v>425835946</v>
      </c>
      <c r="G28">
        <v>802640494</v>
      </c>
      <c r="H28">
        <v>44077</v>
      </c>
      <c r="I28">
        <v>43905</v>
      </c>
      <c r="J28">
        <f>Table134567891011121323456[[#This Row],[Offloading Litres]]-Table134567891011121323456[[#This Row],[LOADED LITRES]]</f>
        <v>-172</v>
      </c>
      <c r="K28" t="s">
        <v>25</v>
      </c>
      <c r="L28">
        <v>75678247</v>
      </c>
      <c r="M28" t="s">
        <v>1215</v>
      </c>
      <c r="N28">
        <v>0.74219999999999997</v>
      </c>
      <c r="O28" s="8">
        <f>Table134567891011121323456[[#This Row],[Offloading Litres]]*Table134567891011121323456[[#This Row],[Rate]]</f>
        <v>32586.290999999997</v>
      </c>
      <c r="P28" s="9" t="s">
        <v>1057</v>
      </c>
      <c r="Q28" t="s">
        <v>1341</v>
      </c>
    </row>
    <row r="29" spans="1:17" x14ac:dyDescent="0.3">
      <c r="A29" s="7">
        <v>45788</v>
      </c>
      <c r="B29" s="7">
        <v>45791</v>
      </c>
      <c r="C29" t="s">
        <v>17</v>
      </c>
      <c r="D29" t="s">
        <v>19</v>
      </c>
      <c r="E29" t="s">
        <v>40</v>
      </c>
      <c r="F29">
        <v>425835936</v>
      </c>
      <c r="G29">
        <v>802641871</v>
      </c>
      <c r="H29">
        <v>43903</v>
      </c>
      <c r="I29">
        <v>43890</v>
      </c>
      <c r="J29">
        <f>Table134567891011121323456[[#This Row],[Offloading Litres]]-Table134567891011121323456[[#This Row],[LOADED LITRES]]</f>
        <v>-13</v>
      </c>
      <c r="K29" t="s">
        <v>25</v>
      </c>
      <c r="L29">
        <v>75679680</v>
      </c>
      <c r="M29" t="s">
        <v>1216</v>
      </c>
      <c r="N29">
        <v>0.74219999999999997</v>
      </c>
      <c r="O29" s="8">
        <f>Table134567891011121323456[[#This Row],[Offloading Litres]]*Table134567891011121323456[[#This Row],[Rate]]</f>
        <v>32575.157999999999</v>
      </c>
      <c r="P29" s="9" t="s">
        <v>1058</v>
      </c>
      <c r="Q29" t="s">
        <v>1307</v>
      </c>
    </row>
    <row r="30" spans="1:17" x14ac:dyDescent="0.3">
      <c r="A30" s="7">
        <v>45788</v>
      </c>
      <c r="B30" s="7">
        <v>45792</v>
      </c>
      <c r="C30" t="s">
        <v>30</v>
      </c>
      <c r="D30" t="s">
        <v>35</v>
      </c>
      <c r="E30" t="s">
        <v>40</v>
      </c>
      <c r="F30">
        <v>425835935</v>
      </c>
      <c r="G30">
        <v>802643809</v>
      </c>
      <c r="H30">
        <v>43929</v>
      </c>
      <c r="I30">
        <v>43873</v>
      </c>
      <c r="J30">
        <f>Table134567891011121323456[[#This Row],[Offloading Litres]]-Table134567891011121323456[[#This Row],[LOADED LITRES]]</f>
        <v>-56</v>
      </c>
      <c r="K30" t="s">
        <v>25</v>
      </c>
      <c r="L30">
        <v>75681793</v>
      </c>
      <c r="M30" t="s">
        <v>1217</v>
      </c>
      <c r="N30">
        <v>0.74219999999999997</v>
      </c>
      <c r="O30" s="8">
        <f>Table134567891011121323456[[#This Row],[Offloading Litres]]*Table134567891011121323456[[#This Row],[Rate]]</f>
        <v>32562.5406</v>
      </c>
      <c r="P30" s="9" t="s">
        <v>1059</v>
      </c>
      <c r="Q30" t="s">
        <v>1305</v>
      </c>
    </row>
    <row r="31" spans="1:17" x14ac:dyDescent="0.3">
      <c r="A31" s="7">
        <v>45790</v>
      </c>
      <c r="B31" s="7">
        <v>45792</v>
      </c>
      <c r="C31" t="s">
        <v>21</v>
      </c>
      <c r="D31" t="s">
        <v>27</v>
      </c>
      <c r="E31" t="s">
        <v>40</v>
      </c>
      <c r="F31">
        <v>425835942</v>
      </c>
      <c r="G31">
        <v>802644590</v>
      </c>
      <c r="H31">
        <v>44615</v>
      </c>
      <c r="I31">
        <v>44684</v>
      </c>
      <c r="J31">
        <f>Table134567891011121323456[[#This Row],[Offloading Litres]]-Table134567891011121323456[[#This Row],[LOADED LITRES]]</f>
        <v>69</v>
      </c>
      <c r="K31" t="s">
        <v>25</v>
      </c>
      <c r="L31">
        <v>75682483</v>
      </c>
      <c r="M31" t="s">
        <v>1218</v>
      </c>
      <c r="N31">
        <v>0.74219999999999997</v>
      </c>
      <c r="O31" s="8">
        <f>Table134567891011121323456[[#This Row],[Offloading Litres]]*Table134567891011121323456[[#This Row],[Rate]]</f>
        <v>33164.464800000002</v>
      </c>
      <c r="P31" s="9" t="s">
        <v>1060</v>
      </c>
      <c r="Q31" t="s">
        <v>1306</v>
      </c>
    </row>
    <row r="32" spans="1:17" x14ac:dyDescent="0.3">
      <c r="A32" s="7">
        <v>45791</v>
      </c>
      <c r="B32" s="7">
        <v>45792</v>
      </c>
      <c r="C32" t="s">
        <v>28</v>
      </c>
      <c r="D32" t="s">
        <v>33</v>
      </c>
      <c r="E32" t="s">
        <v>40</v>
      </c>
      <c r="F32">
        <v>425835945</v>
      </c>
      <c r="G32">
        <v>802544771</v>
      </c>
      <c r="H32">
        <v>44313</v>
      </c>
      <c r="I32">
        <v>44237</v>
      </c>
      <c r="J32">
        <f>Table134567891011121323456[[#This Row],[Offloading Litres]]-Table134567891011121323456[[#This Row],[LOADED LITRES]]</f>
        <v>-76</v>
      </c>
      <c r="K32" t="s">
        <v>25</v>
      </c>
      <c r="L32">
        <v>75682705</v>
      </c>
      <c r="M32" t="s">
        <v>1219</v>
      </c>
      <c r="N32">
        <v>0.74219999999999997</v>
      </c>
      <c r="O32" s="8">
        <f>Table134567891011121323456[[#This Row],[Offloading Litres]]*Table134567891011121323456[[#This Row],[Rate]]</f>
        <v>32832.701399999998</v>
      </c>
      <c r="P32" s="9" t="s">
        <v>1061</v>
      </c>
      <c r="Q32" t="s">
        <v>1303</v>
      </c>
    </row>
    <row r="33" spans="1:17" x14ac:dyDescent="0.3">
      <c r="A33" s="7">
        <v>45791</v>
      </c>
      <c r="B33" s="7">
        <v>45792</v>
      </c>
      <c r="C33" t="s">
        <v>22</v>
      </c>
      <c r="D33" t="s">
        <v>26</v>
      </c>
      <c r="E33" t="s">
        <v>40</v>
      </c>
      <c r="F33">
        <v>425835934</v>
      </c>
      <c r="G33">
        <v>802644789</v>
      </c>
      <c r="H33">
        <v>44155</v>
      </c>
      <c r="I33">
        <v>44048</v>
      </c>
      <c r="J33">
        <f>Table134567891011121323456[[#This Row],[Offloading Litres]]-Table134567891011121323456[[#This Row],[LOADED LITRES]]</f>
        <v>-107</v>
      </c>
      <c r="K33" t="s">
        <v>25</v>
      </c>
      <c r="L33">
        <v>75682730</v>
      </c>
      <c r="M33" t="s">
        <v>1220</v>
      </c>
      <c r="N33">
        <v>0.74219999999999997</v>
      </c>
      <c r="O33" s="8">
        <f>Table134567891011121323456[[#This Row],[Offloading Litres]]*Table134567891011121323456[[#This Row],[Rate]]</f>
        <v>32692.425599999999</v>
      </c>
      <c r="P33" s="9" t="s">
        <v>1062</v>
      </c>
      <c r="Q33" t="s">
        <v>1304</v>
      </c>
    </row>
    <row r="34" spans="1:17" x14ac:dyDescent="0.3">
      <c r="A34" s="7">
        <v>45791</v>
      </c>
      <c r="B34" s="7">
        <v>45792</v>
      </c>
      <c r="C34" t="s">
        <v>34</v>
      </c>
      <c r="D34" t="s">
        <v>15</v>
      </c>
      <c r="E34" t="s">
        <v>40</v>
      </c>
      <c r="F34">
        <v>425835937</v>
      </c>
      <c r="G34">
        <v>802644767</v>
      </c>
      <c r="H34">
        <v>44027</v>
      </c>
      <c r="I34">
        <v>43988</v>
      </c>
      <c r="J34">
        <f>Table134567891011121323456[[#This Row],[Offloading Litres]]-Table134567891011121323456[[#This Row],[LOADED LITRES]]</f>
        <v>-39</v>
      </c>
      <c r="K34" t="s">
        <v>25</v>
      </c>
      <c r="L34">
        <v>75682701</v>
      </c>
      <c r="M34" t="s">
        <v>1221</v>
      </c>
      <c r="N34">
        <v>0.74219999999999997</v>
      </c>
      <c r="O34" s="8">
        <f>Table134567891011121323456[[#This Row],[Offloading Litres]]*Table134567891011121323456[[#This Row],[Rate]]</f>
        <v>32647.893599999999</v>
      </c>
      <c r="P34" s="9" t="s">
        <v>1063</v>
      </c>
      <c r="Q34" t="s">
        <v>1301</v>
      </c>
    </row>
    <row r="35" spans="1:17" x14ac:dyDescent="0.3">
      <c r="A35" s="7">
        <v>45791</v>
      </c>
      <c r="B35" s="7">
        <v>45792</v>
      </c>
      <c r="C35" t="s">
        <v>103</v>
      </c>
      <c r="D35" t="s">
        <v>624</v>
      </c>
      <c r="E35" t="s">
        <v>40</v>
      </c>
      <c r="F35">
        <v>425959972</v>
      </c>
      <c r="G35">
        <v>802646707</v>
      </c>
      <c r="H35">
        <v>44276</v>
      </c>
      <c r="I35">
        <v>44398</v>
      </c>
      <c r="J35">
        <f>Table134567891011121323456[[#This Row],[Offloading Litres]]-Table134567891011121323456[[#This Row],[LOADED LITRES]]</f>
        <v>122</v>
      </c>
      <c r="K35" t="s">
        <v>25</v>
      </c>
      <c r="L35">
        <v>75684339</v>
      </c>
      <c r="M35" t="s">
        <v>1222</v>
      </c>
      <c r="N35">
        <v>0.74219999999999997</v>
      </c>
      <c r="O35" s="8">
        <f>Table134567891011121323456[[#This Row],[Offloading Litres]]*Table134567891011121323456[[#This Row],[Rate]]</f>
        <v>32952.195599999999</v>
      </c>
      <c r="P35" s="9" t="s">
        <v>1064</v>
      </c>
      <c r="Q35" t="s">
        <v>1302</v>
      </c>
    </row>
    <row r="36" spans="1:17" x14ac:dyDescent="0.3">
      <c r="A36" s="7">
        <v>45791</v>
      </c>
      <c r="B36" s="7">
        <v>45792</v>
      </c>
      <c r="C36" t="s">
        <v>29</v>
      </c>
      <c r="D36" t="s">
        <v>24</v>
      </c>
      <c r="E36" t="s">
        <v>40</v>
      </c>
      <c r="F36">
        <v>425959976</v>
      </c>
      <c r="G36">
        <v>802649358</v>
      </c>
      <c r="H36">
        <v>44014</v>
      </c>
      <c r="I36">
        <v>44056</v>
      </c>
      <c r="J36">
        <f>Table134567891011121323456[[#This Row],[Offloading Litres]]-Table134567891011121323456[[#This Row],[LOADED LITRES]]</f>
        <v>42</v>
      </c>
      <c r="K36" t="s">
        <v>25</v>
      </c>
      <c r="L36">
        <v>75687993</v>
      </c>
      <c r="M36" t="s">
        <v>1223</v>
      </c>
      <c r="N36">
        <v>0.74219999999999997</v>
      </c>
      <c r="O36" s="8">
        <f>Table134567891011121323456[[#This Row],[Offloading Litres]]*Table134567891011121323456[[#This Row],[Rate]]</f>
        <v>32698.3632</v>
      </c>
      <c r="P36" s="9" t="s">
        <v>1065</v>
      </c>
      <c r="Q36" t="s">
        <v>1299</v>
      </c>
    </row>
    <row r="37" spans="1:17" x14ac:dyDescent="0.3">
      <c r="A37" s="7">
        <v>45792</v>
      </c>
      <c r="B37" s="7">
        <v>45793</v>
      </c>
      <c r="C37" t="s">
        <v>23</v>
      </c>
      <c r="D37" t="s">
        <v>287</v>
      </c>
      <c r="E37" t="s">
        <v>40</v>
      </c>
      <c r="F37">
        <v>425959977</v>
      </c>
      <c r="G37">
        <v>802649406</v>
      </c>
      <c r="H37">
        <v>44036</v>
      </c>
      <c r="I37">
        <v>43873</v>
      </c>
      <c r="J37">
        <f>Table134567891011121323456[[#This Row],[Offloading Litres]]-Table134567891011121323456[[#This Row],[LOADED LITRES]]</f>
        <v>-163</v>
      </c>
      <c r="K37" t="s">
        <v>25</v>
      </c>
      <c r="L37">
        <v>75687735</v>
      </c>
      <c r="M37" t="s">
        <v>1224</v>
      </c>
      <c r="N37">
        <v>0.73750000000000004</v>
      </c>
      <c r="O37" s="8">
        <f>Table134567891011121323456[[#This Row],[Offloading Litres]]*Table134567891011121323456[[#This Row],[Rate]]</f>
        <v>32356.337500000001</v>
      </c>
      <c r="P37" s="9" t="s">
        <v>1068</v>
      </c>
      <c r="Q37" t="s">
        <v>1300</v>
      </c>
    </row>
    <row r="38" spans="1:17" x14ac:dyDescent="0.3">
      <c r="A38" s="7">
        <v>45793</v>
      </c>
      <c r="B38" s="7">
        <v>45794</v>
      </c>
      <c r="C38" t="s">
        <v>17</v>
      </c>
      <c r="D38" t="s">
        <v>349</v>
      </c>
      <c r="E38" t="s">
        <v>298</v>
      </c>
      <c r="F38">
        <v>426123360</v>
      </c>
      <c r="G38">
        <v>802656055</v>
      </c>
      <c r="H38">
        <v>38767</v>
      </c>
      <c r="I38">
        <v>38749</v>
      </c>
      <c r="J38">
        <f>Table134567891011121323456[[#This Row],[Offloading Litres]]-Table134567891011121323456[[#This Row],[LOADED LITRES]]</f>
        <v>-18</v>
      </c>
      <c r="K38" t="s">
        <v>32</v>
      </c>
      <c r="L38">
        <v>75694318</v>
      </c>
      <c r="M38" t="s">
        <v>1225</v>
      </c>
      <c r="N38">
        <v>0.75260000000000005</v>
      </c>
      <c r="O38" s="8">
        <f>Table134567891011121323456[[#This Row],[Offloading Litres]]*Table134567891011121323456[[#This Row],[Rate]]</f>
        <v>29162.4974</v>
      </c>
      <c r="P38" s="9" t="s">
        <v>1067</v>
      </c>
      <c r="Q38" t="s">
        <v>1315</v>
      </c>
    </row>
    <row r="39" spans="1:17" x14ac:dyDescent="0.3">
      <c r="A39" s="7">
        <v>45793</v>
      </c>
      <c r="B39" s="7">
        <v>45794</v>
      </c>
      <c r="C39" t="s">
        <v>22</v>
      </c>
      <c r="D39" t="s">
        <v>26</v>
      </c>
      <c r="E39" t="s">
        <v>298</v>
      </c>
      <c r="F39">
        <v>426123373</v>
      </c>
      <c r="G39">
        <v>802657327</v>
      </c>
      <c r="H39">
        <v>39733</v>
      </c>
      <c r="I39">
        <v>39667</v>
      </c>
      <c r="J39">
        <f>Table134567891011121323456[[#This Row],[Offloading Litres]]-Table134567891011121323456[[#This Row],[LOADED LITRES]]</f>
        <v>-66</v>
      </c>
      <c r="K39" t="s">
        <v>32</v>
      </c>
      <c r="L39">
        <v>75695990</v>
      </c>
      <c r="M39" t="s">
        <v>1226</v>
      </c>
      <c r="N39">
        <v>0.75260000000000005</v>
      </c>
      <c r="O39" s="8">
        <f>Table134567891011121323456[[#This Row],[Offloading Litres]]*Table134567891011121323456[[#This Row],[Rate]]</f>
        <v>29853.3842</v>
      </c>
      <c r="P39" s="9" t="s">
        <v>1066</v>
      </c>
      <c r="Q39" t="s">
        <v>1316</v>
      </c>
    </row>
    <row r="40" spans="1:17" x14ac:dyDescent="0.3">
      <c r="A40" s="7">
        <v>45793</v>
      </c>
      <c r="B40" s="7">
        <v>45795</v>
      </c>
      <c r="C40" t="s">
        <v>21</v>
      </c>
      <c r="D40" t="s">
        <v>27</v>
      </c>
      <c r="E40" t="s">
        <v>298</v>
      </c>
      <c r="F40">
        <v>426123384</v>
      </c>
      <c r="G40">
        <v>802659019</v>
      </c>
      <c r="H40">
        <v>39263</v>
      </c>
      <c r="I40">
        <v>39443</v>
      </c>
      <c r="J40">
        <f>Table134567891011121323456[[#This Row],[Offloading Litres]]-Table134567891011121323456[[#This Row],[LOADED LITRES]]</f>
        <v>180</v>
      </c>
      <c r="K40" t="s">
        <v>32</v>
      </c>
      <c r="L40">
        <v>75698237</v>
      </c>
      <c r="M40" t="s">
        <v>1227</v>
      </c>
      <c r="N40">
        <v>0.75260000000000005</v>
      </c>
      <c r="O40" s="8">
        <f>Table134567891011121323456[[#This Row],[Offloading Litres]]*Table134567891011121323456[[#This Row],[Rate]]</f>
        <v>29684.801800000001</v>
      </c>
      <c r="P40" s="9" t="s">
        <v>1069</v>
      </c>
      <c r="Q40" t="s">
        <v>1311</v>
      </c>
    </row>
    <row r="41" spans="1:17" x14ac:dyDescent="0.3">
      <c r="A41" s="7">
        <v>45793</v>
      </c>
      <c r="B41" s="7">
        <v>45795</v>
      </c>
      <c r="C41" t="s">
        <v>34</v>
      </c>
      <c r="D41" t="s">
        <v>15</v>
      </c>
      <c r="E41" t="s">
        <v>298</v>
      </c>
      <c r="F41">
        <v>426123391</v>
      </c>
      <c r="G41">
        <v>802659083</v>
      </c>
      <c r="H41">
        <v>38769</v>
      </c>
      <c r="I41">
        <v>38778</v>
      </c>
      <c r="J41">
        <f>Table134567891011121323456[[#This Row],[Offloading Litres]]-Table134567891011121323456[[#This Row],[LOADED LITRES]]</f>
        <v>9</v>
      </c>
      <c r="K41" t="s">
        <v>32</v>
      </c>
      <c r="L41">
        <v>75698318</v>
      </c>
      <c r="M41" t="s">
        <v>1228</v>
      </c>
      <c r="N41">
        <v>0.75260000000000005</v>
      </c>
      <c r="O41" s="8">
        <f>Table134567891011121323456[[#This Row],[Offloading Litres]]*Table134567891011121323456[[#This Row],[Rate]]</f>
        <v>29184.322800000002</v>
      </c>
      <c r="P41" s="9" t="s">
        <v>1071</v>
      </c>
      <c r="Q41" t="s">
        <v>1313</v>
      </c>
    </row>
    <row r="42" spans="1:17" x14ac:dyDescent="0.3">
      <c r="A42" s="7">
        <v>45793</v>
      </c>
      <c r="B42" s="7">
        <v>45795</v>
      </c>
      <c r="C42" t="s">
        <v>103</v>
      </c>
      <c r="D42" t="s">
        <v>624</v>
      </c>
      <c r="E42" t="s">
        <v>40</v>
      </c>
      <c r="F42">
        <v>426088262</v>
      </c>
      <c r="G42">
        <v>802639122</v>
      </c>
      <c r="H42">
        <v>44300</v>
      </c>
      <c r="I42">
        <v>44445</v>
      </c>
      <c r="J42">
        <f>Table134567891011121323456[[#This Row],[Offloading Litres]]-Table134567891011121323456[[#This Row],[LOADED LITRES]]</f>
        <v>145</v>
      </c>
      <c r="K42" t="s">
        <v>25</v>
      </c>
      <c r="L42">
        <v>75698381</v>
      </c>
      <c r="M42" t="s">
        <v>1229</v>
      </c>
      <c r="N42">
        <v>0.73750000000000004</v>
      </c>
      <c r="O42" s="8">
        <f>Table134567891011121323456[[#This Row],[Offloading Litres]]*Table134567891011121323456[[#This Row],[Rate]]</f>
        <v>32778.1875</v>
      </c>
      <c r="P42" s="9" t="s">
        <v>1072</v>
      </c>
      <c r="Q42" t="s">
        <v>1308</v>
      </c>
    </row>
    <row r="43" spans="1:17" x14ac:dyDescent="0.3">
      <c r="A43" s="7">
        <v>45793</v>
      </c>
      <c r="B43" s="7">
        <v>45795</v>
      </c>
      <c r="C43" t="s">
        <v>28</v>
      </c>
      <c r="D43" t="s">
        <v>33</v>
      </c>
      <c r="E43" t="s">
        <v>298</v>
      </c>
      <c r="F43">
        <v>426123399</v>
      </c>
      <c r="G43">
        <v>802659106</v>
      </c>
      <c r="H43">
        <v>39566</v>
      </c>
      <c r="I43">
        <v>39577</v>
      </c>
      <c r="J43">
        <f>Table134567891011121323456[[#This Row],[Offloading Litres]]-Table134567891011121323456[[#This Row],[LOADED LITRES]]</f>
        <v>11</v>
      </c>
      <c r="K43" t="s">
        <v>32</v>
      </c>
      <c r="L43">
        <v>75698356</v>
      </c>
      <c r="M43" t="s">
        <v>1230</v>
      </c>
      <c r="N43">
        <v>0.75260000000000005</v>
      </c>
      <c r="O43" s="8">
        <f>Table134567891011121323456[[#This Row],[Offloading Litres]]*Table134567891011121323456[[#This Row],[Rate]]</f>
        <v>29785.6502</v>
      </c>
      <c r="P43" s="9" t="s">
        <v>1070</v>
      </c>
      <c r="Q43" t="s">
        <v>1314</v>
      </c>
    </row>
    <row r="44" spans="1:17" x14ac:dyDescent="0.3">
      <c r="A44" s="7">
        <v>45794</v>
      </c>
      <c r="B44" s="7">
        <v>45795</v>
      </c>
      <c r="C44" t="s">
        <v>30</v>
      </c>
      <c r="D44" t="s">
        <v>35</v>
      </c>
      <c r="E44" t="s">
        <v>40</v>
      </c>
      <c r="F44">
        <v>426088413</v>
      </c>
      <c r="G44">
        <v>802660257</v>
      </c>
      <c r="H44">
        <v>43966</v>
      </c>
      <c r="I44">
        <v>44054</v>
      </c>
      <c r="J44">
        <f>Table134567891011121323456[[#This Row],[Offloading Litres]]-Table134567891011121323456[[#This Row],[LOADED LITRES]]</f>
        <v>88</v>
      </c>
      <c r="K44" t="s">
        <v>25</v>
      </c>
      <c r="L44">
        <v>75699752</v>
      </c>
      <c r="M44" t="s">
        <v>1231</v>
      </c>
      <c r="N44">
        <v>0.73750000000000004</v>
      </c>
      <c r="O44" s="8">
        <f>Table134567891011121323456[[#This Row],[Offloading Litres]]*Table134567891011121323456[[#This Row],[Rate]]</f>
        <v>32489.825000000001</v>
      </c>
      <c r="P44" s="9" t="s">
        <v>1074</v>
      </c>
      <c r="Q44" t="s">
        <v>1330</v>
      </c>
    </row>
    <row r="45" spans="1:17" x14ac:dyDescent="0.3">
      <c r="A45" s="7">
        <v>45794</v>
      </c>
      <c r="B45" s="7">
        <v>45795</v>
      </c>
      <c r="C45" t="s">
        <v>29</v>
      </c>
      <c r="D45" t="s">
        <v>24</v>
      </c>
      <c r="E45" t="s">
        <v>40</v>
      </c>
      <c r="F45">
        <v>426088214</v>
      </c>
      <c r="H45">
        <v>39370</v>
      </c>
      <c r="I45">
        <v>39458</v>
      </c>
      <c r="J45">
        <f>Table134567891011121323456[[#This Row],[Offloading Litres]]-Table134567891011121323456[[#This Row],[LOADED LITRES]]</f>
        <v>88</v>
      </c>
      <c r="K45" t="s">
        <v>32</v>
      </c>
      <c r="L45">
        <v>75699578</v>
      </c>
      <c r="M45" t="s">
        <v>1232</v>
      </c>
      <c r="N45">
        <v>0.73750000000000004</v>
      </c>
      <c r="O45" s="8">
        <f>Table134567891011121323456[[#This Row],[Offloading Litres]]*Table134567891011121323456[[#This Row],[Rate]]</f>
        <v>29100.275000000001</v>
      </c>
      <c r="P45" s="9" t="s">
        <v>1073</v>
      </c>
      <c r="Q45" t="s">
        <v>1310</v>
      </c>
    </row>
    <row r="46" spans="1:17" x14ac:dyDescent="0.3">
      <c r="A46" s="7">
        <v>45795</v>
      </c>
      <c r="B46" s="7">
        <v>45796</v>
      </c>
      <c r="C46" t="s">
        <v>22</v>
      </c>
      <c r="D46" t="s">
        <v>26</v>
      </c>
      <c r="E46" t="s">
        <v>40</v>
      </c>
      <c r="F46">
        <v>426088227</v>
      </c>
      <c r="G46">
        <v>802661661</v>
      </c>
      <c r="H46">
        <v>39785</v>
      </c>
      <c r="I46">
        <v>39747</v>
      </c>
      <c r="J46">
        <f>Table134567891011121323456[[#This Row],[Offloading Litres]]-Table134567891011121323456[[#This Row],[LOADED LITRES]]</f>
        <v>-38</v>
      </c>
      <c r="K46" t="s">
        <v>32</v>
      </c>
      <c r="L46">
        <v>75701440</v>
      </c>
      <c r="M46" t="s">
        <v>1233</v>
      </c>
      <c r="N46">
        <v>0.73750000000000004</v>
      </c>
      <c r="O46" s="8">
        <f>Table134567891011121323456[[#This Row],[Offloading Litres]]*Table134567891011121323456[[#This Row],[Rate]]</f>
        <v>29313.412500000002</v>
      </c>
      <c r="P46" s="9" t="s">
        <v>1075</v>
      </c>
      <c r="Q46" t="s">
        <v>1309</v>
      </c>
    </row>
    <row r="47" spans="1:17" x14ac:dyDescent="0.3">
      <c r="A47" s="7">
        <v>45795</v>
      </c>
      <c r="B47" s="7">
        <v>45797</v>
      </c>
      <c r="C47" t="s">
        <v>17</v>
      </c>
      <c r="D47" t="s">
        <v>349</v>
      </c>
      <c r="E47" t="s">
        <v>40</v>
      </c>
      <c r="F47">
        <v>426088414</v>
      </c>
      <c r="G47">
        <v>802661751</v>
      </c>
      <c r="H47">
        <v>44017</v>
      </c>
      <c r="I47">
        <v>44009</v>
      </c>
      <c r="J47">
        <f>Table134567891011121323456[[#This Row],[Offloading Litres]]-Table134567891011121323456[[#This Row],[LOADED LITRES]]</f>
        <v>-8</v>
      </c>
      <c r="K47" t="s">
        <v>25</v>
      </c>
      <c r="L47">
        <v>75701559</v>
      </c>
      <c r="M47" t="s">
        <v>1234</v>
      </c>
      <c r="N47">
        <v>0.73750000000000004</v>
      </c>
      <c r="O47" s="8">
        <f>Table134567891011121323456[[#This Row],[Offloading Litres]]*Table134567891011121323456[[#This Row],[Rate]]</f>
        <v>32456.637500000001</v>
      </c>
      <c r="P47" s="9" t="s">
        <v>1158</v>
      </c>
      <c r="Q47" t="s">
        <v>1329</v>
      </c>
    </row>
    <row r="48" spans="1:17" x14ac:dyDescent="0.3">
      <c r="A48" s="7">
        <v>45795</v>
      </c>
      <c r="B48" s="7">
        <v>45797</v>
      </c>
      <c r="C48" t="s">
        <v>21</v>
      </c>
      <c r="D48" t="s">
        <v>27</v>
      </c>
      <c r="E48" t="s">
        <v>40</v>
      </c>
      <c r="F48">
        <v>426088415</v>
      </c>
      <c r="G48">
        <v>802662065</v>
      </c>
      <c r="H48">
        <v>44605</v>
      </c>
      <c r="I48">
        <v>44672</v>
      </c>
      <c r="J48">
        <f>Table134567891011121323456[[#This Row],[Offloading Litres]]-Table134567891011121323456[[#This Row],[LOADED LITRES]]</f>
        <v>67</v>
      </c>
      <c r="K48" t="s">
        <v>25</v>
      </c>
      <c r="L48">
        <v>75701918</v>
      </c>
      <c r="M48" t="s">
        <v>1235</v>
      </c>
      <c r="N48">
        <v>0.73750000000000004</v>
      </c>
      <c r="O48" s="8">
        <f>Table134567891011121323456[[#This Row],[Offloading Litres]]*Table134567891011121323456[[#This Row],[Rate]]</f>
        <v>32945.599999999999</v>
      </c>
      <c r="P48" s="9" t="s">
        <v>1157</v>
      </c>
      <c r="Q48" t="s">
        <v>1320</v>
      </c>
    </row>
    <row r="49" spans="1:17" x14ac:dyDescent="0.3">
      <c r="A49" s="7">
        <v>45796</v>
      </c>
      <c r="B49" s="7">
        <v>45798</v>
      </c>
      <c r="C49" t="s">
        <v>28</v>
      </c>
      <c r="D49" t="s">
        <v>33</v>
      </c>
      <c r="E49" t="s">
        <v>40</v>
      </c>
      <c r="F49">
        <v>426088416</v>
      </c>
      <c r="G49">
        <v>802662950</v>
      </c>
      <c r="H49">
        <v>44375</v>
      </c>
      <c r="I49">
        <v>44343</v>
      </c>
      <c r="J49">
        <f>Table134567891011121323456[[#This Row],[Offloading Litres]]-Table134567891011121323456[[#This Row],[LOADED LITRES]]</f>
        <v>-32</v>
      </c>
      <c r="K49" t="s">
        <v>25</v>
      </c>
      <c r="L49">
        <v>75702593</v>
      </c>
      <c r="M49" t="s">
        <v>1236</v>
      </c>
      <c r="N49">
        <v>0.73750000000000004</v>
      </c>
      <c r="O49" s="8">
        <f>Table134567891011121323456[[#This Row],[Offloading Litres]]*Table134567891011121323456[[#This Row],[Rate]]</f>
        <v>32702.962500000001</v>
      </c>
      <c r="P49" s="9" t="s">
        <v>1162</v>
      </c>
      <c r="Q49" t="s">
        <v>1328</v>
      </c>
    </row>
    <row r="50" spans="1:17" x14ac:dyDescent="0.3">
      <c r="A50" s="7">
        <v>45796</v>
      </c>
      <c r="B50" s="7">
        <v>45797</v>
      </c>
      <c r="C50" t="s">
        <v>34</v>
      </c>
      <c r="D50" t="s">
        <v>15</v>
      </c>
      <c r="E50" t="s">
        <v>40</v>
      </c>
      <c r="F50">
        <v>426088237</v>
      </c>
      <c r="G50">
        <v>802662929</v>
      </c>
      <c r="H50">
        <v>38818</v>
      </c>
      <c r="I50">
        <v>38876</v>
      </c>
      <c r="J50">
        <f>Table134567891011121323456[[#This Row],[Offloading Litres]]-Table134567891011121323456[[#This Row],[LOADED LITRES]]</f>
        <v>58</v>
      </c>
      <c r="K50" t="s">
        <v>32</v>
      </c>
      <c r="L50">
        <v>75702529</v>
      </c>
      <c r="M50" t="s">
        <v>1237</v>
      </c>
      <c r="N50">
        <v>0.73750000000000004</v>
      </c>
      <c r="O50" s="8">
        <f>Table134567891011121323456[[#This Row],[Offloading Litres]]*Table134567891011121323456[[#This Row],[Rate]]</f>
        <v>28671.050000000003</v>
      </c>
      <c r="P50" s="9" t="s">
        <v>1161</v>
      </c>
      <c r="Q50" t="s">
        <v>1331</v>
      </c>
    </row>
    <row r="51" spans="1:17" x14ac:dyDescent="0.3">
      <c r="A51" s="7">
        <v>45796</v>
      </c>
      <c r="B51" s="7">
        <v>45797</v>
      </c>
      <c r="C51" t="s">
        <v>23</v>
      </c>
      <c r="D51" t="s">
        <v>287</v>
      </c>
      <c r="E51" t="s">
        <v>1160</v>
      </c>
      <c r="F51">
        <v>426171780</v>
      </c>
      <c r="G51">
        <v>802667162</v>
      </c>
      <c r="H51">
        <v>38787</v>
      </c>
      <c r="I51">
        <v>38857</v>
      </c>
      <c r="J51">
        <f>Table134567891011121323456[[#This Row],[Offloading Litres]]-Table134567891011121323456[[#This Row],[LOADED LITRES]]</f>
        <v>70</v>
      </c>
      <c r="K51" t="s">
        <v>32</v>
      </c>
      <c r="L51" t="s">
        <v>1266</v>
      </c>
      <c r="M51" t="s">
        <v>1268</v>
      </c>
      <c r="N51">
        <v>0.56769999999999998</v>
      </c>
      <c r="O51" s="8">
        <f>Table134567891011121323456[[#This Row],[Offloading Litres]]*Table134567891011121323456[[#This Row],[Rate]]</f>
        <v>22059.118899999998</v>
      </c>
      <c r="P51" s="9" t="s">
        <v>1159</v>
      </c>
      <c r="Q51" t="s">
        <v>1327</v>
      </c>
    </row>
    <row r="52" spans="1:17" x14ac:dyDescent="0.3">
      <c r="A52" s="7">
        <v>45796</v>
      </c>
      <c r="B52" s="7">
        <v>45798</v>
      </c>
      <c r="C52" t="s">
        <v>103</v>
      </c>
      <c r="D52" t="s">
        <v>624</v>
      </c>
      <c r="E52" t="s">
        <v>40</v>
      </c>
      <c r="F52">
        <v>426088242</v>
      </c>
      <c r="G52">
        <v>802667478</v>
      </c>
      <c r="H52">
        <v>39299</v>
      </c>
      <c r="I52">
        <v>39472</v>
      </c>
      <c r="J52">
        <f>Table134567891011121323456[[#This Row],[Offloading Litres]]-Table134567891011121323456[[#This Row],[LOADED LITRES]]</f>
        <v>173</v>
      </c>
      <c r="K52" t="s">
        <v>32</v>
      </c>
      <c r="L52">
        <v>75706568</v>
      </c>
      <c r="M52" t="s">
        <v>1238</v>
      </c>
      <c r="N52">
        <v>0.73750000000000004</v>
      </c>
      <c r="O52" s="8">
        <f>Table134567891011121323456[[#This Row],[Offloading Litres]]*Table134567891011121323456[[#This Row],[Rate]]</f>
        <v>29110.600000000002</v>
      </c>
      <c r="P52" s="9" t="s">
        <v>1165</v>
      </c>
    </row>
    <row r="53" spans="1:17" x14ac:dyDescent="0.3">
      <c r="A53" s="7">
        <v>45796</v>
      </c>
      <c r="B53" s="7">
        <v>45798</v>
      </c>
      <c r="C53" t="s">
        <v>29</v>
      </c>
      <c r="D53" t="s">
        <v>24</v>
      </c>
      <c r="E53" t="s">
        <v>40</v>
      </c>
      <c r="F53">
        <v>426088220</v>
      </c>
      <c r="G53">
        <v>802667396</v>
      </c>
      <c r="H53">
        <v>39426</v>
      </c>
      <c r="I53">
        <v>39463</v>
      </c>
      <c r="J53">
        <f>Table134567891011121323456[[#This Row],[Offloading Litres]]-Table134567891011121323456[[#This Row],[LOADED LITRES]]</f>
        <v>37</v>
      </c>
      <c r="K53" t="s">
        <v>32</v>
      </c>
      <c r="L53">
        <v>75706546</v>
      </c>
      <c r="M53" t="s">
        <v>1240</v>
      </c>
      <c r="N53">
        <v>0.73750000000000004</v>
      </c>
      <c r="O53" s="8">
        <f>Table134567891011121323456[[#This Row],[Offloading Litres]]*Table134567891011121323456[[#This Row],[Rate]]</f>
        <v>29103.962500000001</v>
      </c>
      <c r="P53" s="9" t="s">
        <v>1271</v>
      </c>
      <c r="Q53" t="s">
        <v>1292</v>
      </c>
    </row>
    <row r="54" spans="1:17" x14ac:dyDescent="0.3">
      <c r="A54" s="7">
        <v>45796</v>
      </c>
      <c r="B54" s="7">
        <v>45798</v>
      </c>
      <c r="C54" t="s">
        <v>22</v>
      </c>
      <c r="D54" t="s">
        <v>26</v>
      </c>
      <c r="E54" t="s">
        <v>40</v>
      </c>
      <c r="F54">
        <v>426163890</v>
      </c>
      <c r="G54">
        <v>802667613</v>
      </c>
      <c r="H54">
        <v>39792</v>
      </c>
      <c r="I54">
        <v>39824</v>
      </c>
      <c r="J54">
        <f>Table134567891011121323456[[#This Row],[Offloading Litres]]-Table134567891011121323456[[#This Row],[LOADED LITRES]]</f>
        <v>32</v>
      </c>
      <c r="K54" t="s">
        <v>32</v>
      </c>
      <c r="L54">
        <v>75706699</v>
      </c>
      <c r="M54" t="s">
        <v>1241</v>
      </c>
      <c r="N54">
        <v>0.73750000000000004</v>
      </c>
      <c r="O54" s="8">
        <f>Table134567891011121323456[[#This Row],[Offloading Litres]]*Table134567891011121323456[[#This Row],[Rate]]</f>
        <v>29370.2</v>
      </c>
      <c r="P54" s="9" t="s">
        <v>1163</v>
      </c>
      <c r="Q54" t="s">
        <v>1326</v>
      </c>
    </row>
    <row r="55" spans="1:17" x14ac:dyDescent="0.3">
      <c r="A55" s="7">
        <v>45797</v>
      </c>
      <c r="B55" s="7">
        <v>45798</v>
      </c>
      <c r="C55" t="s">
        <v>30</v>
      </c>
      <c r="D55" t="s">
        <v>35</v>
      </c>
      <c r="E55" t="s">
        <v>40</v>
      </c>
      <c r="F55">
        <v>426163891</v>
      </c>
      <c r="G55">
        <v>802671653</v>
      </c>
      <c r="H55">
        <v>38771</v>
      </c>
      <c r="I55">
        <v>38737</v>
      </c>
      <c r="J55">
        <f>Table134567891011121323456[[#This Row],[Offloading Litres]]-Table134567891011121323456[[#This Row],[LOADED LITRES]]</f>
        <v>-34</v>
      </c>
      <c r="K55" t="s">
        <v>32</v>
      </c>
      <c r="L55">
        <v>75710826</v>
      </c>
      <c r="M55" t="s">
        <v>1242</v>
      </c>
      <c r="N55">
        <v>0.73750000000000004</v>
      </c>
      <c r="O55" s="8">
        <f>Table134567891011121323456[[#This Row],[Offloading Litres]]*Table134567891011121323456[[#This Row],[Rate]]</f>
        <v>28568.537500000002</v>
      </c>
      <c r="P55" s="9" t="s">
        <v>1164</v>
      </c>
      <c r="Q55" t="s">
        <v>1325</v>
      </c>
    </row>
    <row r="56" spans="1:17" x14ac:dyDescent="0.3">
      <c r="A56" s="7">
        <v>45798</v>
      </c>
      <c r="B56" s="7">
        <v>45799</v>
      </c>
      <c r="C56" t="s">
        <v>23</v>
      </c>
      <c r="D56" t="s">
        <v>287</v>
      </c>
      <c r="E56" t="s">
        <v>40</v>
      </c>
      <c r="F56">
        <v>426163956</v>
      </c>
      <c r="G56">
        <v>802672896</v>
      </c>
      <c r="H56">
        <v>44024</v>
      </c>
      <c r="I56">
        <v>43702</v>
      </c>
      <c r="J56">
        <f>Table134567891011121323456[[#This Row],[Offloading Litres]]-Table134567891011121323456[[#This Row],[LOADED LITRES]]</f>
        <v>-322</v>
      </c>
      <c r="K56" t="s">
        <v>25</v>
      </c>
      <c r="L56">
        <v>75712084</v>
      </c>
      <c r="M56" t="s">
        <v>1243</v>
      </c>
      <c r="N56">
        <v>0.73750000000000004</v>
      </c>
      <c r="O56" s="8">
        <f>Table134567891011121323456[[#This Row],[Offloading Litres]]*Table134567891011121323456[[#This Row],[Rate]]</f>
        <v>32230.225000000002</v>
      </c>
      <c r="P56" s="9" t="s">
        <v>1166</v>
      </c>
      <c r="Q56" t="s">
        <v>1322</v>
      </c>
    </row>
    <row r="57" spans="1:17" x14ac:dyDescent="0.3">
      <c r="A57" s="7">
        <v>45798</v>
      </c>
      <c r="B57" s="7">
        <v>45799</v>
      </c>
      <c r="C57" t="s">
        <v>17</v>
      </c>
      <c r="D57" t="s">
        <v>349</v>
      </c>
      <c r="E57" t="s">
        <v>40</v>
      </c>
      <c r="F57">
        <v>426163954</v>
      </c>
      <c r="G57">
        <v>802673965</v>
      </c>
      <c r="H57">
        <v>44179</v>
      </c>
      <c r="I57">
        <v>44017</v>
      </c>
      <c r="J57">
        <f>Table134567891011121323456[[#This Row],[Offloading Litres]]-Table134567891011121323456[[#This Row],[LOADED LITRES]]</f>
        <v>-162</v>
      </c>
      <c r="K57" t="s">
        <v>25</v>
      </c>
      <c r="L57">
        <v>75712987</v>
      </c>
      <c r="M57" t="s">
        <v>1244</v>
      </c>
      <c r="N57">
        <v>0.73750000000000004</v>
      </c>
      <c r="O57" s="8">
        <f>Table134567891011121323456[[#This Row],[Offloading Litres]]*Table134567891011121323456[[#This Row],[Rate]]</f>
        <v>32462.537500000002</v>
      </c>
      <c r="P57" s="9" t="s">
        <v>1167</v>
      </c>
      <c r="Q57" t="s">
        <v>1324</v>
      </c>
    </row>
    <row r="58" spans="1:17" x14ac:dyDescent="0.3">
      <c r="A58" s="7">
        <v>45798</v>
      </c>
      <c r="B58" s="7">
        <v>45799</v>
      </c>
      <c r="C58" t="s">
        <v>21</v>
      </c>
      <c r="D58" t="s">
        <v>27</v>
      </c>
      <c r="E58" t="s">
        <v>40</v>
      </c>
      <c r="F58">
        <v>426163958</v>
      </c>
      <c r="G58">
        <v>802675336</v>
      </c>
      <c r="H58">
        <v>44687</v>
      </c>
      <c r="I58">
        <v>44685</v>
      </c>
      <c r="J58">
        <f>Table134567891011121323456[[#This Row],[Offloading Litres]]-Table134567891011121323456[[#This Row],[LOADED LITRES]]</f>
        <v>-2</v>
      </c>
      <c r="K58" t="s">
        <v>25</v>
      </c>
      <c r="L58">
        <v>75714441</v>
      </c>
      <c r="M58" t="s">
        <v>1245</v>
      </c>
      <c r="N58">
        <v>0.73750000000000004</v>
      </c>
      <c r="O58" s="8">
        <f>Table134567891011121323456[[#This Row],[Offloading Litres]]*Table134567891011121323456[[#This Row],[Rate]]</f>
        <v>32955.1875</v>
      </c>
      <c r="P58" s="9" t="s">
        <v>1270</v>
      </c>
      <c r="Q58" t="s">
        <v>1323</v>
      </c>
    </row>
    <row r="59" spans="1:17" x14ac:dyDescent="0.3">
      <c r="A59" s="7">
        <v>45799</v>
      </c>
      <c r="B59" s="7">
        <v>45800</v>
      </c>
      <c r="C59" t="s">
        <v>22</v>
      </c>
      <c r="D59" t="s">
        <v>26</v>
      </c>
      <c r="E59" t="s">
        <v>40</v>
      </c>
      <c r="F59">
        <v>426163981</v>
      </c>
      <c r="G59">
        <v>802679200</v>
      </c>
      <c r="H59">
        <v>44251</v>
      </c>
      <c r="I59" s="9">
        <v>43950</v>
      </c>
      <c r="J59">
        <f>Table134567891011121323456[[#This Row],[Offloading Litres]]-Table134567891011121323456[[#This Row],[LOADED LITRES]]</f>
        <v>-301</v>
      </c>
      <c r="K59" t="s">
        <v>25</v>
      </c>
      <c r="L59">
        <v>75717714</v>
      </c>
      <c r="M59" t="s">
        <v>1246</v>
      </c>
      <c r="N59">
        <v>0.73750000000000004</v>
      </c>
      <c r="O59" s="8">
        <f>Table134567891011121323456[[#This Row],[Offloading Litres]]*Table134567891011121323456[[#This Row],[Rate]]</f>
        <v>32413.125000000004</v>
      </c>
      <c r="P59" s="9" t="s">
        <v>1168</v>
      </c>
      <c r="Q59" t="s">
        <v>1318</v>
      </c>
    </row>
    <row r="60" spans="1:17" x14ac:dyDescent="0.3">
      <c r="A60" s="7">
        <v>45799</v>
      </c>
      <c r="B60" s="7">
        <v>45800</v>
      </c>
      <c r="C60" t="s">
        <v>28</v>
      </c>
      <c r="D60" t="s">
        <v>33</v>
      </c>
      <c r="E60" t="s">
        <v>40</v>
      </c>
      <c r="F60">
        <v>426163948</v>
      </c>
      <c r="G60">
        <v>802679328</v>
      </c>
      <c r="H60">
        <v>39632</v>
      </c>
      <c r="I60">
        <v>39532</v>
      </c>
      <c r="J60">
        <f>Table134567891011121323456[[#This Row],[Offloading Litres]]-Table134567891011121323456[[#This Row],[LOADED LITRES]]</f>
        <v>-100</v>
      </c>
      <c r="K60" t="s">
        <v>32</v>
      </c>
      <c r="L60">
        <v>75717921</v>
      </c>
      <c r="M60" t="s">
        <v>1247</v>
      </c>
      <c r="N60">
        <v>0.73750000000000004</v>
      </c>
      <c r="O60" s="8">
        <f>Table134567891011121323456[[#This Row],[Offloading Litres]]*Table134567891011121323456[[#This Row],[Rate]]</f>
        <v>29154.850000000002</v>
      </c>
      <c r="P60" s="9" t="s">
        <v>1169</v>
      </c>
      <c r="Q60" t="s">
        <v>1335</v>
      </c>
    </row>
    <row r="61" spans="1:17" x14ac:dyDescent="0.3">
      <c r="A61" s="7">
        <v>45799</v>
      </c>
      <c r="B61" s="7">
        <v>45800</v>
      </c>
      <c r="C61" t="s">
        <v>34</v>
      </c>
      <c r="D61" t="s">
        <v>15</v>
      </c>
      <c r="E61" t="s">
        <v>1160</v>
      </c>
      <c r="F61">
        <v>426344733</v>
      </c>
      <c r="G61">
        <v>802680290</v>
      </c>
      <c r="H61">
        <v>38801</v>
      </c>
      <c r="I61">
        <v>38644</v>
      </c>
      <c r="J61">
        <f>Table134567891011121323456[[#This Row],[Offloading Litres]]-Table134567891011121323456[[#This Row],[LOADED LITRES]]</f>
        <v>-157</v>
      </c>
      <c r="K61" t="s">
        <v>32</v>
      </c>
      <c r="L61" t="s">
        <v>1267</v>
      </c>
      <c r="M61" t="s">
        <v>1269</v>
      </c>
      <c r="N61">
        <v>0.56769999999999998</v>
      </c>
      <c r="O61" s="8">
        <f>Table134567891011121323456[[#This Row],[Offloading Litres]]*Table134567891011121323456[[#This Row],[Rate]]</f>
        <v>21938.198799999998</v>
      </c>
      <c r="P61" s="9" t="s">
        <v>1161</v>
      </c>
      <c r="Q61" t="s">
        <v>1347</v>
      </c>
    </row>
    <row r="62" spans="1:17" x14ac:dyDescent="0.3">
      <c r="A62" s="7">
        <v>45799</v>
      </c>
      <c r="B62" s="7">
        <v>45800</v>
      </c>
      <c r="C62" t="s">
        <v>103</v>
      </c>
      <c r="D62" t="s">
        <v>624</v>
      </c>
      <c r="E62" t="s">
        <v>40</v>
      </c>
      <c r="F62">
        <v>426163982</v>
      </c>
      <c r="G62">
        <v>802681446</v>
      </c>
      <c r="H62">
        <v>44357</v>
      </c>
      <c r="I62">
        <v>44308</v>
      </c>
      <c r="J62">
        <f>Table134567891011121323456[[#This Row],[Offloading Litres]]-Table134567891011121323456[[#This Row],[LOADED LITRES]]</f>
        <v>-49</v>
      </c>
      <c r="K62" t="s">
        <v>25</v>
      </c>
      <c r="L62">
        <v>75720540</v>
      </c>
      <c r="M62" t="s">
        <v>1248</v>
      </c>
      <c r="N62">
        <v>0.73750000000000004</v>
      </c>
      <c r="O62" s="8">
        <f>Table134567891011121323456[[#This Row],[Offloading Litres]]*Table134567891011121323456[[#This Row],[Rate]]</f>
        <v>32677.15</v>
      </c>
      <c r="P62" s="9" t="s">
        <v>1172</v>
      </c>
      <c r="Q62" t="s">
        <v>1319</v>
      </c>
    </row>
    <row r="63" spans="1:17" x14ac:dyDescent="0.3">
      <c r="A63" s="7">
        <v>45799</v>
      </c>
      <c r="B63" s="7">
        <v>45800</v>
      </c>
      <c r="C63" t="s">
        <v>29</v>
      </c>
      <c r="D63" t="s">
        <v>24</v>
      </c>
      <c r="E63" t="s">
        <v>40</v>
      </c>
      <c r="F63">
        <v>426163946</v>
      </c>
      <c r="G63">
        <v>802682251</v>
      </c>
      <c r="H63">
        <v>39403</v>
      </c>
      <c r="I63">
        <v>39385</v>
      </c>
      <c r="J63">
        <f>Table134567891011121323456[[#This Row],[Offloading Litres]]-Table134567891011121323456[[#This Row],[LOADED LITRES]]</f>
        <v>-18</v>
      </c>
      <c r="K63" t="s">
        <v>32</v>
      </c>
      <c r="L63">
        <v>75721216</v>
      </c>
      <c r="M63" t="s">
        <v>1249</v>
      </c>
      <c r="N63">
        <v>0.73750000000000004</v>
      </c>
      <c r="O63" s="8">
        <f>Table134567891011121323456[[#This Row],[Offloading Litres]]*Table134567891011121323456[[#This Row],[Rate]]</f>
        <v>29046.4375</v>
      </c>
      <c r="P63" s="9" t="s">
        <v>1170</v>
      </c>
      <c r="Q63" t="s">
        <v>1321</v>
      </c>
    </row>
    <row r="64" spans="1:17" x14ac:dyDescent="0.3">
      <c r="A64" s="7">
        <v>45799</v>
      </c>
      <c r="B64" s="7">
        <v>45800</v>
      </c>
      <c r="C64" t="s">
        <v>30</v>
      </c>
      <c r="D64" t="s">
        <v>35</v>
      </c>
      <c r="E64" t="s">
        <v>40</v>
      </c>
      <c r="F64">
        <v>426163983</v>
      </c>
      <c r="G64">
        <v>802682082</v>
      </c>
      <c r="H64">
        <v>44058</v>
      </c>
      <c r="I64">
        <v>43930</v>
      </c>
      <c r="J64">
        <f>Table134567891011121323456[[#This Row],[Offloading Litres]]-Table134567891011121323456[[#This Row],[LOADED LITRES]]</f>
        <v>-128</v>
      </c>
      <c r="K64" t="s">
        <v>25</v>
      </c>
      <c r="L64">
        <v>75721070</v>
      </c>
      <c r="M64" t="s">
        <v>1250</v>
      </c>
      <c r="N64">
        <v>0.73750000000000004</v>
      </c>
      <c r="O64" s="8">
        <f>Table134567891011121323456[[#This Row],[Offloading Litres]]*Table134567891011121323456[[#This Row],[Rate]]</f>
        <v>32398.375000000004</v>
      </c>
      <c r="P64" s="9" t="s">
        <v>1171</v>
      </c>
      <c r="Q64" t="s">
        <v>1317</v>
      </c>
    </row>
    <row r="65" spans="1:17" x14ac:dyDescent="0.3">
      <c r="A65" s="7">
        <v>45800</v>
      </c>
      <c r="B65" s="7">
        <v>45802</v>
      </c>
      <c r="C65" t="s">
        <v>17</v>
      </c>
      <c r="D65" t="s">
        <v>349</v>
      </c>
      <c r="E65" t="s">
        <v>40</v>
      </c>
      <c r="F65">
        <v>426163951</v>
      </c>
      <c r="G65">
        <v>802688101</v>
      </c>
      <c r="H65">
        <v>38796</v>
      </c>
      <c r="I65">
        <v>38707</v>
      </c>
      <c r="J65">
        <f>Table134567891011121323456[[#This Row],[Offloading Litres]]-Table134567891011121323456[[#This Row],[LOADED LITRES]]</f>
        <v>-89</v>
      </c>
      <c r="K65" t="s">
        <v>32</v>
      </c>
      <c r="L65">
        <v>75727231</v>
      </c>
      <c r="M65" t="s">
        <v>1251</v>
      </c>
      <c r="N65">
        <v>0.73750000000000004</v>
      </c>
      <c r="O65" s="8">
        <f>Table134567891011121323456[[#This Row],[Offloading Litres]]*Table134567891011121323456[[#This Row],[Rate]]</f>
        <v>28546.412500000002</v>
      </c>
      <c r="P65" s="9" t="s">
        <v>1173</v>
      </c>
      <c r="Q65" t="s">
        <v>1333</v>
      </c>
    </row>
    <row r="66" spans="1:17" x14ac:dyDescent="0.3">
      <c r="A66" s="7">
        <v>45800</v>
      </c>
      <c r="B66" s="7">
        <v>45802</v>
      </c>
      <c r="C66" t="s">
        <v>21</v>
      </c>
      <c r="D66" t="s">
        <v>27</v>
      </c>
      <c r="E66" t="s">
        <v>40</v>
      </c>
      <c r="F66">
        <v>426163949</v>
      </c>
      <c r="G66">
        <v>802688122</v>
      </c>
      <c r="H66">
        <v>39292</v>
      </c>
      <c r="I66">
        <v>39373</v>
      </c>
      <c r="J66">
        <f>Table134567891011121323456[[#This Row],[Offloading Litres]]-Table134567891011121323456[[#This Row],[LOADED LITRES]]</f>
        <v>81</v>
      </c>
      <c r="K66" t="s">
        <v>32</v>
      </c>
      <c r="L66">
        <v>75727263</v>
      </c>
      <c r="M66" t="s">
        <v>1252</v>
      </c>
      <c r="N66">
        <v>0.73750000000000004</v>
      </c>
      <c r="O66" s="8">
        <f>Table134567891011121323456[[#This Row],[Offloading Litres]]*Table134567891011121323456[[#This Row],[Rate]]</f>
        <v>29037.587500000001</v>
      </c>
      <c r="P66" s="9" t="s">
        <v>1174</v>
      </c>
      <c r="Q66" t="s">
        <v>1334</v>
      </c>
    </row>
    <row r="67" spans="1:17" x14ac:dyDescent="0.3">
      <c r="A67" s="7">
        <v>45800</v>
      </c>
      <c r="B67" s="7">
        <v>45802</v>
      </c>
      <c r="C67" t="s">
        <v>23</v>
      </c>
      <c r="D67" t="s">
        <v>97</v>
      </c>
      <c r="E67" t="s">
        <v>40</v>
      </c>
      <c r="F67">
        <v>426165336</v>
      </c>
      <c r="G67">
        <v>802688289</v>
      </c>
      <c r="H67">
        <v>44093</v>
      </c>
      <c r="I67">
        <v>43960</v>
      </c>
      <c r="J67">
        <f>Table134567891011121323456[[#This Row],[Offloading Litres]]-Table134567891011121323456[[#This Row],[LOADED LITRES]]</f>
        <v>-133</v>
      </c>
      <c r="K67" t="s">
        <v>25</v>
      </c>
      <c r="L67">
        <v>75727580</v>
      </c>
      <c r="M67" t="s">
        <v>1253</v>
      </c>
      <c r="N67">
        <v>0.73750000000000004</v>
      </c>
      <c r="O67" s="8">
        <f>Table134567891011121323456[[#This Row],[Offloading Litres]]*Table134567891011121323456[[#This Row],[Rate]]</f>
        <v>32420.500000000004</v>
      </c>
      <c r="P67" s="9" t="s">
        <v>1175</v>
      </c>
      <c r="Q67" t="s">
        <v>1340</v>
      </c>
    </row>
    <row r="68" spans="1:17" x14ac:dyDescent="0.3">
      <c r="A68" s="7">
        <v>45801</v>
      </c>
      <c r="B68" s="7">
        <v>45803</v>
      </c>
      <c r="C68" t="s">
        <v>30</v>
      </c>
      <c r="D68" t="s">
        <v>35</v>
      </c>
      <c r="E68" t="s">
        <v>40</v>
      </c>
      <c r="F68">
        <v>426165347</v>
      </c>
      <c r="G68">
        <v>802690321</v>
      </c>
      <c r="H68">
        <v>44060</v>
      </c>
      <c r="I68">
        <v>43943</v>
      </c>
      <c r="J68">
        <f>Table134567891011121323456[[#This Row],[Offloading Litres]]-Table134567891011121323456[[#This Row],[LOADED LITRES]]</f>
        <v>-117</v>
      </c>
      <c r="K68" t="s">
        <v>25</v>
      </c>
      <c r="L68">
        <v>75729973</v>
      </c>
      <c r="M68" t="s">
        <v>1239</v>
      </c>
      <c r="N68">
        <v>0.73750000000000004</v>
      </c>
      <c r="O68" s="8">
        <f>Table134567891011121323456[[#This Row],[Offloading Litres]]*Table134567891011121323456[[#This Row],[Rate]]</f>
        <v>32407.962500000001</v>
      </c>
      <c r="P68" s="9" t="s">
        <v>1179</v>
      </c>
      <c r="Q68" t="s">
        <v>1339</v>
      </c>
    </row>
    <row r="69" spans="1:17" x14ac:dyDescent="0.3">
      <c r="A69" s="7">
        <v>45801</v>
      </c>
      <c r="B69" s="7">
        <v>45803</v>
      </c>
      <c r="C69" t="s">
        <v>29</v>
      </c>
      <c r="D69" t="s">
        <v>24</v>
      </c>
      <c r="E69" t="s">
        <v>40</v>
      </c>
      <c r="F69">
        <v>426356378</v>
      </c>
      <c r="G69">
        <v>802690427</v>
      </c>
      <c r="H69">
        <v>44079</v>
      </c>
      <c r="I69">
        <v>44017</v>
      </c>
      <c r="J69">
        <f>Table134567891011121323456[[#This Row],[Offloading Litres]]-Table134567891011121323456[[#This Row],[LOADED LITRES]]</f>
        <v>-62</v>
      </c>
      <c r="K69" t="s">
        <v>25</v>
      </c>
      <c r="L69">
        <v>75730073</v>
      </c>
      <c r="M69" t="s">
        <v>1254</v>
      </c>
      <c r="N69">
        <v>0.73750000000000004</v>
      </c>
      <c r="O69" s="8">
        <f>Table134567891011121323456[[#This Row],[Offloading Litres]]*Table134567891011121323456[[#This Row],[Rate]]</f>
        <v>32462.537500000002</v>
      </c>
      <c r="P69" s="9" t="s">
        <v>1178</v>
      </c>
      <c r="Q69" t="s">
        <v>1338</v>
      </c>
    </row>
    <row r="70" spans="1:17" x14ac:dyDescent="0.3">
      <c r="A70" s="7">
        <v>45801</v>
      </c>
      <c r="B70" s="7">
        <v>45803</v>
      </c>
      <c r="C70" t="s">
        <v>103</v>
      </c>
      <c r="D70" t="s">
        <v>624</v>
      </c>
      <c r="E70" t="s">
        <v>40</v>
      </c>
      <c r="F70">
        <v>426356379</v>
      </c>
      <c r="G70">
        <v>802690428</v>
      </c>
      <c r="H70">
        <v>44398</v>
      </c>
      <c r="I70">
        <v>44395</v>
      </c>
      <c r="J70">
        <f>Table134567891011121323456[[#This Row],[Offloading Litres]]-Table134567891011121323456[[#This Row],[LOADED LITRES]]</f>
        <v>-3</v>
      </c>
      <c r="K70" t="s">
        <v>25</v>
      </c>
      <c r="L70">
        <v>75730075</v>
      </c>
      <c r="M70" t="s">
        <v>1255</v>
      </c>
      <c r="N70">
        <v>0.73750000000000004</v>
      </c>
      <c r="O70" s="8">
        <f>Table134567891011121323456[[#This Row],[Offloading Litres]]*Table134567891011121323456[[#This Row],[Rate]]</f>
        <v>32741.312500000004</v>
      </c>
      <c r="P70" s="9" t="s">
        <v>1176</v>
      </c>
      <c r="Q70" t="s">
        <v>1332</v>
      </c>
    </row>
    <row r="71" spans="1:17" x14ac:dyDescent="0.3">
      <c r="A71" s="7">
        <v>45801</v>
      </c>
      <c r="B71" s="7">
        <v>45802</v>
      </c>
      <c r="C71" t="s">
        <v>22</v>
      </c>
      <c r="D71" t="s">
        <v>26</v>
      </c>
      <c r="E71" t="s">
        <v>40</v>
      </c>
      <c r="F71">
        <v>426165328</v>
      </c>
      <c r="G71">
        <v>802688358</v>
      </c>
      <c r="H71">
        <v>44244</v>
      </c>
      <c r="I71">
        <v>43712</v>
      </c>
      <c r="J71">
        <f>Table134567891011121323456[[#This Row],[Offloading Litres]]-Table134567891011121323456[[#This Row],[LOADED LITRES]]</f>
        <v>-532</v>
      </c>
      <c r="K71" t="s">
        <v>25</v>
      </c>
      <c r="L71">
        <v>75727663</v>
      </c>
      <c r="M71" t="s">
        <v>1256</v>
      </c>
      <c r="N71">
        <v>0.73750000000000004</v>
      </c>
      <c r="O71" s="8">
        <f>Table134567891011121323456[[#This Row],[Offloading Litres]]*Table134567891011121323456[[#This Row],[Rate]]</f>
        <v>32237.600000000002</v>
      </c>
      <c r="P71" s="9" t="s">
        <v>1177</v>
      </c>
      <c r="Q71" t="s">
        <v>1312</v>
      </c>
    </row>
    <row r="72" spans="1:17" x14ac:dyDescent="0.3">
      <c r="A72" s="7">
        <v>45802</v>
      </c>
      <c r="B72" s="7">
        <v>45804</v>
      </c>
      <c r="C72" t="s">
        <v>28</v>
      </c>
      <c r="D72" t="s">
        <v>33</v>
      </c>
      <c r="E72" t="s">
        <v>40</v>
      </c>
      <c r="F72">
        <v>426356428</v>
      </c>
      <c r="G72">
        <v>802690804</v>
      </c>
      <c r="H72">
        <v>44485</v>
      </c>
      <c r="I72">
        <v>44214</v>
      </c>
      <c r="J72">
        <f>Table134567891011121323456[[#This Row],[Offloading Litres]]-Table134567891011121323456[[#This Row],[LOADED LITRES]]</f>
        <v>-271</v>
      </c>
      <c r="K72" t="s">
        <v>25</v>
      </c>
      <c r="L72">
        <v>75730459</v>
      </c>
      <c r="M72" t="s">
        <v>1257</v>
      </c>
      <c r="N72">
        <v>0.73750000000000004</v>
      </c>
      <c r="O72" s="8">
        <f>Table134567891011121323456[[#This Row],[Offloading Litres]]*Table134567891011121323456[[#This Row],[Rate]]</f>
        <v>32607.825000000001</v>
      </c>
      <c r="P72" s="9" t="s">
        <v>1180</v>
      </c>
      <c r="Q72" t="s">
        <v>1337</v>
      </c>
    </row>
    <row r="73" spans="1:17" x14ac:dyDescent="0.3">
      <c r="A73" s="7">
        <v>45803</v>
      </c>
      <c r="B73" s="7">
        <v>45805</v>
      </c>
      <c r="C73" t="s">
        <v>17</v>
      </c>
      <c r="D73" t="s">
        <v>349</v>
      </c>
      <c r="E73" t="s">
        <v>40</v>
      </c>
      <c r="F73">
        <v>426356420</v>
      </c>
      <c r="G73">
        <v>802692389</v>
      </c>
      <c r="H73">
        <v>44131</v>
      </c>
      <c r="I73">
        <v>44077</v>
      </c>
      <c r="J73">
        <f>Table134567891011121323456[[#This Row],[Offloading Litres]]-Table134567891011121323456[[#This Row],[LOADED LITRES]]</f>
        <v>-54</v>
      </c>
      <c r="K73" t="s">
        <v>25</v>
      </c>
      <c r="L73">
        <v>75732274</v>
      </c>
      <c r="M73" t="s">
        <v>1258</v>
      </c>
      <c r="N73">
        <v>0.73750000000000004</v>
      </c>
      <c r="O73" s="8">
        <f>Table134567891011121323456[[#This Row],[Offloading Litres]]*Table134567891011121323456[[#This Row],[Rate]]</f>
        <v>32506.787500000002</v>
      </c>
      <c r="P73" s="9" t="s">
        <v>1181</v>
      </c>
      <c r="Q73" t="s">
        <v>1345</v>
      </c>
    </row>
    <row r="74" spans="1:17" x14ac:dyDescent="0.3">
      <c r="A74" s="7">
        <v>45803</v>
      </c>
      <c r="B74" s="7">
        <v>45805</v>
      </c>
      <c r="C74" t="s">
        <v>21</v>
      </c>
      <c r="D74" t="s">
        <v>27</v>
      </c>
      <c r="E74" t="s">
        <v>40</v>
      </c>
      <c r="F74">
        <v>426356570</v>
      </c>
      <c r="G74">
        <v>802693358</v>
      </c>
      <c r="H74">
        <v>44681</v>
      </c>
      <c r="I74">
        <v>44795</v>
      </c>
      <c r="J74">
        <f>Table134567891011121323456[[#This Row],[Offloading Litres]]-Table134567891011121323456[[#This Row],[LOADED LITRES]]</f>
        <v>114</v>
      </c>
      <c r="K74" t="s">
        <v>25</v>
      </c>
      <c r="L74">
        <v>75733191</v>
      </c>
      <c r="M74" t="s">
        <v>1259</v>
      </c>
      <c r="N74">
        <v>0.73750000000000004</v>
      </c>
      <c r="O74" s="8">
        <f>Table134567891011121323456[[#This Row],[Offloading Litres]]*Table134567891011121323456[[#This Row],[Rate]]</f>
        <v>33036.3125</v>
      </c>
      <c r="P74" s="9" t="s">
        <v>1182</v>
      </c>
      <c r="Q74" t="s">
        <v>1349</v>
      </c>
    </row>
    <row r="75" spans="1:17" x14ac:dyDescent="0.3">
      <c r="A75" s="7">
        <v>45803</v>
      </c>
      <c r="B75" s="7">
        <v>45806</v>
      </c>
      <c r="C75" t="s">
        <v>103</v>
      </c>
      <c r="D75" t="s">
        <v>624</v>
      </c>
      <c r="E75" t="s">
        <v>40</v>
      </c>
      <c r="F75">
        <v>426356576</v>
      </c>
      <c r="G75">
        <v>802695822</v>
      </c>
      <c r="H75">
        <v>44406</v>
      </c>
      <c r="I75">
        <v>44330</v>
      </c>
      <c r="J75">
        <f>Table134567891011121323456[[#This Row],[Offloading Litres]]-Table134567891011121323456[[#This Row],[LOADED LITRES]]</f>
        <v>-76</v>
      </c>
      <c r="K75" t="s">
        <v>25</v>
      </c>
      <c r="L75">
        <v>75735622</v>
      </c>
      <c r="M75" t="s">
        <v>1260</v>
      </c>
      <c r="N75">
        <v>0.73750000000000004</v>
      </c>
      <c r="O75" s="8">
        <f>Table134567891011121323456[[#This Row],[Offloading Litres]]*Table134567891011121323456[[#This Row],[Rate]]</f>
        <v>32693.375000000004</v>
      </c>
      <c r="P75" s="9" t="s">
        <v>1184</v>
      </c>
      <c r="Q75" t="s">
        <v>1346</v>
      </c>
    </row>
    <row r="76" spans="1:17" x14ac:dyDescent="0.3">
      <c r="A76" s="7">
        <v>45804</v>
      </c>
      <c r="B76" s="7">
        <v>45806</v>
      </c>
      <c r="C76" t="s">
        <v>22</v>
      </c>
      <c r="D76" t="s">
        <v>26</v>
      </c>
      <c r="E76" t="s">
        <v>40</v>
      </c>
      <c r="F76">
        <v>426356571</v>
      </c>
      <c r="G76">
        <v>802698278</v>
      </c>
      <c r="H76">
        <v>44250</v>
      </c>
      <c r="I76">
        <v>43949</v>
      </c>
      <c r="J76">
        <f>Table134567891011121323456[[#This Row],[Offloading Litres]]-Table134567891011121323456[[#This Row],[LOADED LITRES]]</f>
        <v>-301</v>
      </c>
      <c r="K76" t="s">
        <v>25</v>
      </c>
      <c r="L76">
        <v>75737679</v>
      </c>
      <c r="M76" t="s">
        <v>1261</v>
      </c>
      <c r="N76">
        <v>0.73750000000000004</v>
      </c>
      <c r="O76" s="8">
        <f>Table134567891011121323456[[#This Row],[Offloading Litres]]*Table134567891011121323456[[#This Row],[Rate]]</f>
        <v>32412.387500000001</v>
      </c>
      <c r="P76" s="9" t="s">
        <v>1183</v>
      </c>
      <c r="Q76" t="s">
        <v>1336</v>
      </c>
    </row>
    <row r="77" spans="1:17" x14ac:dyDescent="0.3">
      <c r="A77" s="7">
        <v>45804</v>
      </c>
      <c r="B77" s="7">
        <v>45807</v>
      </c>
      <c r="C77" t="s">
        <v>30</v>
      </c>
      <c r="D77" t="s">
        <v>35</v>
      </c>
      <c r="E77" t="s">
        <v>40</v>
      </c>
      <c r="F77">
        <v>426356575</v>
      </c>
      <c r="G77">
        <v>802701109</v>
      </c>
      <c r="H77">
        <v>44094</v>
      </c>
      <c r="I77">
        <v>43896</v>
      </c>
      <c r="J77">
        <f>Table134567891011121323456[[#This Row],[Offloading Litres]]-Table134567891011121323456[[#This Row],[LOADED LITRES]]</f>
        <v>-198</v>
      </c>
      <c r="K77" t="s">
        <v>25</v>
      </c>
      <c r="L77">
        <v>75740358</v>
      </c>
      <c r="M77" t="s">
        <v>1262</v>
      </c>
      <c r="N77">
        <v>0.73750000000000004</v>
      </c>
      <c r="O77" s="8">
        <f>Table134567891011121323456[[#This Row],[Offloading Litres]]*Table134567891011121323456[[#This Row],[Rate]]</f>
        <v>32373.300000000003</v>
      </c>
      <c r="P77" s="9" t="s">
        <v>1186</v>
      </c>
      <c r="Q77" t="s">
        <v>1343</v>
      </c>
    </row>
    <row r="78" spans="1:17" x14ac:dyDescent="0.3">
      <c r="A78" s="7">
        <v>45804</v>
      </c>
      <c r="B78" s="7">
        <v>45807</v>
      </c>
      <c r="C78" t="s">
        <v>29</v>
      </c>
      <c r="D78" t="s">
        <v>286</v>
      </c>
      <c r="E78" t="s">
        <v>40</v>
      </c>
      <c r="F78">
        <v>426356581</v>
      </c>
      <c r="G78">
        <v>802701444</v>
      </c>
      <c r="H78">
        <v>44130</v>
      </c>
      <c r="I78">
        <v>43961</v>
      </c>
      <c r="J78">
        <f>Table134567891011121323456[[#This Row],[Offloading Litres]]-Table134567891011121323456[[#This Row],[LOADED LITRES]]</f>
        <v>-169</v>
      </c>
      <c r="K78" t="s">
        <v>25</v>
      </c>
      <c r="L78">
        <v>75740767</v>
      </c>
      <c r="M78" t="s">
        <v>1263</v>
      </c>
      <c r="N78">
        <v>0.73750000000000004</v>
      </c>
      <c r="O78" s="8">
        <f>Table134567891011121323456[[#This Row],[Offloading Litres]]*Table134567891011121323456[[#This Row],[Rate]]</f>
        <v>32421.237500000003</v>
      </c>
      <c r="P78" s="9" t="s">
        <v>1187</v>
      </c>
      <c r="Q78" t="s">
        <v>1344</v>
      </c>
    </row>
    <row r="79" spans="1:17" x14ac:dyDescent="0.3">
      <c r="A79" s="7">
        <v>45804</v>
      </c>
      <c r="B79" s="7">
        <v>45806</v>
      </c>
      <c r="C79" t="s">
        <v>23</v>
      </c>
      <c r="D79" t="s">
        <v>287</v>
      </c>
      <c r="E79" t="s">
        <v>40</v>
      </c>
      <c r="F79">
        <v>426356578</v>
      </c>
      <c r="G79">
        <v>802701054</v>
      </c>
      <c r="H79">
        <v>44133</v>
      </c>
      <c r="I79">
        <v>44033</v>
      </c>
      <c r="J79">
        <f>Table134567891011121323456[[#This Row],[Offloading Litres]]-Table134567891011121323456[[#This Row],[LOADED LITRES]]</f>
        <v>-100</v>
      </c>
      <c r="K79" t="s">
        <v>25</v>
      </c>
      <c r="L79">
        <v>75740326</v>
      </c>
      <c r="M79" t="s">
        <v>1264</v>
      </c>
      <c r="N79">
        <v>0.73750000000000004</v>
      </c>
      <c r="O79" s="8">
        <f>Table134567891011121323456[[#This Row],[Offloading Litres]]*Table134567891011121323456[[#This Row],[Rate]]</f>
        <v>32474.337500000001</v>
      </c>
      <c r="P79" s="9" t="s">
        <v>1185</v>
      </c>
      <c r="Q79" t="s">
        <v>1342</v>
      </c>
    </row>
    <row r="80" spans="1:17" x14ac:dyDescent="0.3">
      <c r="A80" s="7">
        <v>45805</v>
      </c>
      <c r="B80" s="7">
        <v>45807</v>
      </c>
      <c r="C80" t="s">
        <v>28</v>
      </c>
      <c r="D80" t="s">
        <v>33</v>
      </c>
      <c r="E80" t="s">
        <v>40</v>
      </c>
      <c r="F80">
        <v>426356579</v>
      </c>
      <c r="G80">
        <v>802706296</v>
      </c>
      <c r="H80">
        <v>44434</v>
      </c>
      <c r="I80">
        <v>44268</v>
      </c>
      <c r="J80">
        <f>Table134567891011121323456[[#This Row],[Offloading Litres]]-Table134567891011121323456[[#This Row],[LOADED LITRES]]</f>
        <v>-166</v>
      </c>
      <c r="K80" t="s">
        <v>25</v>
      </c>
      <c r="L80">
        <v>75745944</v>
      </c>
      <c r="M80" t="s">
        <v>1265</v>
      </c>
      <c r="N80">
        <v>0.73750000000000004</v>
      </c>
      <c r="O80" s="8">
        <f>Table134567891011121323456[[#This Row],[Offloading Litres]]*Table134567891011121323456[[#This Row],[Rate]]</f>
        <v>32647.65</v>
      </c>
      <c r="P80" s="9" t="s">
        <v>1188</v>
      </c>
      <c r="Q80" t="s">
        <v>1348</v>
      </c>
    </row>
  </sheetData>
  <phoneticPr fontId="2" type="noConversion"/>
  <conditionalFormatting sqref="F1:G1">
    <cfRule type="duplicateValues" dxfId="21" priority="1"/>
  </conditionalFormatting>
  <conditionalFormatting sqref="G1">
    <cfRule type="duplicateValues" dxfId="20" priority="2"/>
  </conditionalFormatting>
  <conditionalFormatting sqref="L1">
    <cfRule type="duplicateValues" dxfId="19" priority="3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4DA32-A4B7-44FC-970E-53F4B8E0724B}">
  <dimension ref="A1:T39"/>
  <sheetViews>
    <sheetView workbookViewId="0">
      <selection activeCell="M27" sqref="A1:T39"/>
    </sheetView>
  </sheetViews>
  <sheetFormatPr defaultRowHeight="14.4" x14ac:dyDescent="0.3"/>
  <cols>
    <col min="1" max="2" width="13.33203125" customWidth="1"/>
    <col min="3" max="3" width="9.88671875" customWidth="1"/>
    <col min="4" max="4" width="20.33203125" customWidth="1"/>
    <col min="5" max="5" width="22.88671875" customWidth="1"/>
    <col min="6" max="9" width="13.33203125" customWidth="1"/>
    <col min="10" max="10" width="9" customWidth="1"/>
    <col min="11" max="11" width="8.33203125" customWidth="1"/>
    <col min="12" max="12" width="10.44140625" customWidth="1"/>
    <col min="13" max="13" width="13.5546875" customWidth="1"/>
    <col min="14" max="14" width="9.44140625" customWidth="1"/>
    <col min="15" max="15" width="10.109375" style="8" customWidth="1"/>
    <col min="16" max="16" width="14.6640625" customWidth="1"/>
    <col min="17" max="17" width="10.6640625" customWidth="1"/>
    <col min="18" max="18" width="14.6640625" customWidth="1"/>
    <col min="19" max="19" width="9.33203125" customWidth="1"/>
  </cols>
  <sheetData>
    <row r="1" spans="1:20" ht="15.6" thickBot="1" x14ac:dyDescent="0.35">
      <c r="A1" s="1" t="s">
        <v>0</v>
      </c>
      <c r="B1" s="1" t="s">
        <v>1</v>
      </c>
      <c r="C1" s="2" t="s">
        <v>38</v>
      </c>
      <c r="D1" s="2" t="s">
        <v>2</v>
      </c>
      <c r="E1" s="2" t="s">
        <v>3</v>
      </c>
      <c r="F1" s="2" t="s">
        <v>37</v>
      </c>
      <c r="G1" s="2" t="s">
        <v>4</v>
      </c>
      <c r="H1" s="2" t="s">
        <v>36</v>
      </c>
      <c r="I1" s="2" t="s">
        <v>5</v>
      </c>
      <c r="J1" s="2" t="s">
        <v>6</v>
      </c>
      <c r="K1" s="2" t="s">
        <v>7</v>
      </c>
      <c r="L1" s="3" t="s">
        <v>8</v>
      </c>
      <c r="M1" s="2" t="s">
        <v>9</v>
      </c>
      <c r="N1" s="2" t="s">
        <v>10</v>
      </c>
      <c r="O1" s="4" t="s">
        <v>11</v>
      </c>
      <c r="P1" s="5" t="s">
        <v>12</v>
      </c>
      <c r="Q1" s="5" t="s">
        <v>18</v>
      </c>
      <c r="R1" s="2" t="s">
        <v>13</v>
      </c>
      <c r="S1" s="6" t="s">
        <v>20</v>
      </c>
      <c r="T1" s="6" t="s">
        <v>14</v>
      </c>
    </row>
    <row r="2" spans="1:20" ht="15" hidden="1" thickTop="1" x14ac:dyDescent="0.3">
      <c r="A2" s="7">
        <v>45812</v>
      </c>
      <c r="B2" s="7">
        <v>45813</v>
      </c>
      <c r="C2" t="s">
        <v>30</v>
      </c>
      <c r="D2" t="s">
        <v>35</v>
      </c>
      <c r="E2" t="s">
        <v>1351</v>
      </c>
      <c r="F2">
        <v>426755385</v>
      </c>
      <c r="G2">
        <v>802732051</v>
      </c>
      <c r="H2">
        <v>37972</v>
      </c>
      <c r="I2">
        <v>37776</v>
      </c>
      <c r="J2">
        <f>Table1345678910111213234567[[#This Row],[LOADED LITRES]]-Table1345678910111213234567[[#This Row],[Offloading Litres]]</f>
        <v>196</v>
      </c>
      <c r="K2" t="s">
        <v>236</v>
      </c>
      <c r="L2" s="17" t="s">
        <v>1350</v>
      </c>
      <c r="M2" t="s">
        <v>1423</v>
      </c>
      <c r="N2">
        <v>0.69240000000000002</v>
      </c>
      <c r="O2" s="8">
        <f>Table1345678910111213234567[[#This Row],[LOADED LITRES]]*Table1345678910111213234567[[#This Row],[Rate]]</f>
        <v>26291.8128</v>
      </c>
      <c r="P2" s="9" t="s">
        <v>1368</v>
      </c>
      <c r="Q2" t="s">
        <v>1500</v>
      </c>
    </row>
    <row r="3" spans="1:20" ht="15" hidden="1" thickTop="1" x14ac:dyDescent="0.3">
      <c r="A3" s="7">
        <v>45812</v>
      </c>
      <c r="B3" s="7">
        <v>45812</v>
      </c>
      <c r="C3" t="s">
        <v>103</v>
      </c>
      <c r="D3" t="s">
        <v>624</v>
      </c>
      <c r="E3" t="s">
        <v>1353</v>
      </c>
      <c r="F3">
        <v>426748545</v>
      </c>
      <c r="G3">
        <v>802732430</v>
      </c>
      <c r="H3">
        <v>39347</v>
      </c>
      <c r="I3">
        <v>39508</v>
      </c>
      <c r="J3">
        <f>Table1345678910111213234567[[#This Row],[LOADED LITRES]]-Table1345678910111213234567[[#This Row],[Offloading Litres]]</f>
        <v>-161</v>
      </c>
      <c r="K3" t="s">
        <v>32</v>
      </c>
      <c r="L3" s="18" t="s">
        <v>1352</v>
      </c>
      <c r="M3" t="s">
        <v>1424</v>
      </c>
      <c r="N3">
        <v>0.56769999999999998</v>
      </c>
      <c r="O3" s="8">
        <f>Table1345678910111213234567[[#This Row],[LOADED LITRES]]*Table1345678910111213234567[[#This Row],[Rate]]</f>
        <v>22337.2919</v>
      </c>
      <c r="P3" s="9" t="s">
        <v>1369</v>
      </c>
      <c r="Q3" t="s">
        <v>1535</v>
      </c>
    </row>
    <row r="4" spans="1:20" ht="15" hidden="1" thickTop="1" x14ac:dyDescent="0.3">
      <c r="A4" s="7">
        <v>45812</v>
      </c>
      <c r="B4" s="7">
        <v>45814</v>
      </c>
      <c r="C4" t="s">
        <v>29</v>
      </c>
      <c r="D4" t="s">
        <v>286</v>
      </c>
      <c r="E4" t="s">
        <v>1354</v>
      </c>
      <c r="F4">
        <v>426787285</v>
      </c>
      <c r="G4">
        <v>802732808</v>
      </c>
      <c r="H4">
        <v>40335</v>
      </c>
      <c r="I4">
        <v>40161</v>
      </c>
      <c r="J4">
        <f>Table1345678910111213234567[[#This Row],[LOADED LITRES]]-Table1345678910111213234567[[#This Row],[Offloading Litres]]</f>
        <v>174</v>
      </c>
      <c r="K4" t="s">
        <v>236</v>
      </c>
      <c r="L4" s="17">
        <v>5505108</v>
      </c>
      <c r="M4" t="s">
        <v>1425</v>
      </c>
      <c r="N4">
        <v>0.63</v>
      </c>
      <c r="O4" s="8">
        <f>Table1345678910111213234567[[#This Row],[LOADED LITRES]]*Table1345678910111213234567[[#This Row],[Rate]]</f>
        <v>25411.05</v>
      </c>
      <c r="P4" s="9" t="s">
        <v>1367</v>
      </c>
      <c r="Q4" t="s">
        <v>1536</v>
      </c>
    </row>
    <row r="5" spans="1:20" ht="15" hidden="1" thickTop="1" x14ac:dyDescent="0.3">
      <c r="A5" s="7">
        <v>45812</v>
      </c>
      <c r="B5" s="7">
        <v>45813</v>
      </c>
      <c r="C5" t="s">
        <v>17</v>
      </c>
      <c r="D5" t="s">
        <v>349</v>
      </c>
      <c r="E5" t="s">
        <v>1353</v>
      </c>
      <c r="F5">
        <v>426748556</v>
      </c>
      <c r="G5">
        <v>802733441</v>
      </c>
      <c r="H5">
        <v>38833</v>
      </c>
      <c r="I5">
        <v>38776</v>
      </c>
      <c r="J5">
        <f>Table1345678910111213234567[[#This Row],[LOADED LITRES]]-Table1345678910111213234567[[#This Row],[Offloading Litres]]</f>
        <v>57</v>
      </c>
      <c r="K5" t="s">
        <v>32</v>
      </c>
      <c r="L5" s="17" t="s">
        <v>1355</v>
      </c>
      <c r="M5" t="s">
        <v>1426</v>
      </c>
      <c r="N5">
        <v>0.56769999999999998</v>
      </c>
      <c r="O5" s="8">
        <f>Table1345678910111213234567[[#This Row],[LOADED LITRES]]*Table1345678910111213234567[[#This Row],[Rate]]</f>
        <v>22045.4941</v>
      </c>
      <c r="P5" s="9" t="s">
        <v>1366</v>
      </c>
      <c r="Q5" t="s">
        <v>1502</v>
      </c>
    </row>
    <row r="6" spans="1:20" ht="15" hidden="1" thickTop="1" x14ac:dyDescent="0.3">
      <c r="A6" s="7">
        <v>45813</v>
      </c>
      <c r="B6" s="7">
        <v>45814</v>
      </c>
      <c r="C6" t="s">
        <v>34</v>
      </c>
      <c r="D6" t="s">
        <v>15</v>
      </c>
      <c r="E6" t="s">
        <v>1353</v>
      </c>
      <c r="F6">
        <v>426847128</v>
      </c>
      <c r="G6">
        <v>802737857</v>
      </c>
      <c r="H6">
        <v>38826</v>
      </c>
      <c r="I6">
        <v>38721</v>
      </c>
      <c r="J6">
        <f>Table1345678910111213234567[[#This Row],[LOADED LITRES]]-Table1345678910111213234567[[#This Row],[Offloading Litres]]</f>
        <v>105</v>
      </c>
      <c r="K6" t="s">
        <v>32</v>
      </c>
      <c r="L6" s="17" t="s">
        <v>1356</v>
      </c>
      <c r="M6" t="s">
        <v>1427</v>
      </c>
      <c r="N6">
        <v>0.56769999999999998</v>
      </c>
      <c r="O6" s="8">
        <f>Table1345678910111213234567[[#This Row],[LOADED LITRES]]*Table1345678910111213234567[[#This Row],[Rate]]</f>
        <v>22041.520199999999</v>
      </c>
      <c r="P6" s="9" t="s">
        <v>1365</v>
      </c>
      <c r="Q6" t="s">
        <v>1503</v>
      </c>
    </row>
    <row r="7" spans="1:20" ht="15" hidden="1" thickTop="1" x14ac:dyDescent="0.3">
      <c r="A7" s="7">
        <v>45814</v>
      </c>
      <c r="B7" s="7">
        <v>45814</v>
      </c>
      <c r="C7" t="s">
        <v>17</v>
      </c>
      <c r="D7" t="s">
        <v>349</v>
      </c>
      <c r="E7" t="s">
        <v>1353</v>
      </c>
      <c r="F7">
        <v>426847141</v>
      </c>
      <c r="G7">
        <v>802744468</v>
      </c>
      <c r="H7">
        <v>38824</v>
      </c>
      <c r="I7">
        <v>38892</v>
      </c>
      <c r="J7">
        <f>Table1345678910111213234567[[#This Row],[LOADED LITRES]]-Table1345678910111213234567[[#This Row],[Offloading Litres]]</f>
        <v>-68</v>
      </c>
      <c r="K7" t="s">
        <v>32</v>
      </c>
      <c r="L7" s="17" t="s">
        <v>1357</v>
      </c>
      <c r="M7" t="s">
        <v>1428</v>
      </c>
      <c r="N7">
        <v>0.56769999999999998</v>
      </c>
      <c r="O7" s="8">
        <f>Table1345678910111213234567[[#This Row],[LOADED LITRES]]*Table1345678910111213234567[[#This Row],[Rate]]</f>
        <v>22040.3848</v>
      </c>
      <c r="P7" s="9" t="s">
        <v>1364</v>
      </c>
      <c r="Q7" t="s">
        <v>1501</v>
      </c>
    </row>
    <row r="8" spans="1:20" ht="15" hidden="1" thickTop="1" x14ac:dyDescent="0.3">
      <c r="A8" s="7">
        <v>45814</v>
      </c>
      <c r="B8" s="7">
        <v>45817</v>
      </c>
      <c r="C8" t="s">
        <v>30</v>
      </c>
      <c r="D8" t="s">
        <v>35</v>
      </c>
      <c r="E8" t="s">
        <v>1358</v>
      </c>
      <c r="F8">
        <v>426887992</v>
      </c>
      <c r="G8">
        <v>802747272</v>
      </c>
      <c r="H8">
        <v>38797</v>
      </c>
      <c r="J8">
        <f>Table1345678910111213234567[[#This Row],[LOADED LITRES]]-Table1345678910111213234567[[#This Row],[Offloading Litres]]</f>
        <v>38797</v>
      </c>
      <c r="K8" t="s">
        <v>32</v>
      </c>
      <c r="L8" s="17" t="s">
        <v>1359</v>
      </c>
      <c r="M8" t="s">
        <v>1429</v>
      </c>
      <c r="N8">
        <v>0.79</v>
      </c>
      <c r="O8" s="8">
        <f>Table1345678910111213234567[[#This Row],[LOADED LITRES]]*Table1345678910111213234567[[#This Row],[Rate]]</f>
        <v>30649.63</v>
      </c>
      <c r="P8" s="9" t="s">
        <v>1370</v>
      </c>
      <c r="Q8" t="s">
        <v>1534</v>
      </c>
    </row>
    <row r="9" spans="1:20" ht="15" hidden="1" thickTop="1" x14ac:dyDescent="0.3">
      <c r="A9" s="7">
        <v>45815</v>
      </c>
      <c r="B9" s="7">
        <v>45817</v>
      </c>
      <c r="C9" t="s">
        <v>17</v>
      </c>
      <c r="D9" t="s">
        <v>349</v>
      </c>
      <c r="E9" t="s">
        <v>1360</v>
      </c>
      <c r="F9" t="s">
        <v>1361</v>
      </c>
      <c r="G9" t="s">
        <v>1362</v>
      </c>
      <c r="H9">
        <v>40276</v>
      </c>
      <c r="I9">
        <v>40127</v>
      </c>
      <c r="J9">
        <f>Table1345678910111213234567[[#This Row],[LOADED LITRES]]-Table1345678910111213234567[[#This Row],[Offloading Litres]]</f>
        <v>149</v>
      </c>
      <c r="K9" t="s">
        <v>32</v>
      </c>
      <c r="L9" s="17" t="s">
        <v>1363</v>
      </c>
      <c r="M9" t="s">
        <v>1430</v>
      </c>
      <c r="N9">
        <v>0.59030000000000005</v>
      </c>
      <c r="O9" s="8">
        <f>Table1345678910111213234567[[#This Row],[LOADED LITRES]]*Table1345678910111213234567[[#This Row],[Rate]]</f>
        <v>23774.9228</v>
      </c>
      <c r="P9" s="9" t="s">
        <v>1371</v>
      </c>
      <c r="Q9" t="s">
        <v>1529</v>
      </c>
    </row>
    <row r="10" spans="1:20" ht="15" hidden="1" thickTop="1" x14ac:dyDescent="0.3">
      <c r="A10" s="7">
        <v>45820</v>
      </c>
      <c r="B10" s="7">
        <v>45821</v>
      </c>
      <c r="C10" t="s">
        <v>22</v>
      </c>
      <c r="D10" t="s">
        <v>26</v>
      </c>
      <c r="E10" t="s">
        <v>243</v>
      </c>
      <c r="F10">
        <v>427080883</v>
      </c>
      <c r="G10">
        <v>802769485</v>
      </c>
      <c r="H10">
        <v>39844</v>
      </c>
      <c r="I10">
        <v>39752</v>
      </c>
      <c r="J10">
        <f>Table1345678910111213234567[[#This Row],[LOADED LITRES]]-Table1345678910111213234567[[#This Row],[Offloading Litres]]</f>
        <v>92</v>
      </c>
      <c r="K10" t="s">
        <v>32</v>
      </c>
      <c r="L10" s="17" t="s">
        <v>1372</v>
      </c>
      <c r="M10" t="s">
        <v>1431</v>
      </c>
      <c r="N10">
        <v>0.50409999999999999</v>
      </c>
      <c r="O10" s="8">
        <f>Table1345678910111213234567[[#This Row],[LOADED LITRES]]*Table1345678910111213234567[[#This Row],[Rate]]</f>
        <v>20085.360400000001</v>
      </c>
      <c r="P10" s="9" t="s">
        <v>1374</v>
      </c>
      <c r="Q10" t="s">
        <v>1532</v>
      </c>
    </row>
    <row r="11" spans="1:20" ht="15" hidden="1" thickTop="1" x14ac:dyDescent="0.3">
      <c r="A11" s="7">
        <v>45821</v>
      </c>
      <c r="B11" s="7">
        <v>45821</v>
      </c>
      <c r="C11" t="s">
        <v>21</v>
      </c>
      <c r="D11" t="s">
        <v>27</v>
      </c>
      <c r="E11" t="s">
        <v>1353</v>
      </c>
      <c r="F11">
        <v>427084035</v>
      </c>
      <c r="G11">
        <v>802770318</v>
      </c>
      <c r="H11">
        <v>39391</v>
      </c>
      <c r="I11">
        <v>39555</v>
      </c>
      <c r="J11">
        <f>Table1345678910111213234567[[#This Row],[LOADED LITRES]]-Table1345678910111213234567[[#This Row],[Offloading Litres]]</f>
        <v>-164</v>
      </c>
      <c r="K11" t="s">
        <v>32</v>
      </c>
      <c r="L11" s="17" t="s">
        <v>1373</v>
      </c>
      <c r="M11" t="s">
        <v>1432</v>
      </c>
      <c r="N11">
        <v>0.56769999999999998</v>
      </c>
      <c r="O11" s="8">
        <f>Table1345678910111213234567[[#This Row],[LOADED LITRES]]*Table1345678910111213234567[[#This Row],[Rate]]</f>
        <v>22362.270700000001</v>
      </c>
      <c r="P11" s="9" t="s">
        <v>1375</v>
      </c>
      <c r="Q11" t="s">
        <v>1499</v>
      </c>
    </row>
    <row r="12" spans="1:20" ht="15" hidden="1" thickTop="1" x14ac:dyDescent="0.3">
      <c r="A12" s="7">
        <v>45826</v>
      </c>
      <c r="B12" s="7">
        <v>45827</v>
      </c>
      <c r="C12" t="s">
        <v>17</v>
      </c>
      <c r="D12" t="s">
        <v>624</v>
      </c>
      <c r="E12" t="s">
        <v>1353</v>
      </c>
      <c r="F12">
        <v>427255565</v>
      </c>
      <c r="G12">
        <v>802794579</v>
      </c>
      <c r="H12">
        <v>38864</v>
      </c>
      <c r="I12">
        <v>38957</v>
      </c>
      <c r="J12">
        <f>Table1345678910111213234567[[#This Row],[LOADED LITRES]]-Table1345678910111213234567[[#This Row],[Offloading Litres]]</f>
        <v>-93</v>
      </c>
      <c r="K12" t="s">
        <v>32</v>
      </c>
      <c r="L12" s="18" t="s">
        <v>1376</v>
      </c>
      <c r="M12" t="s">
        <v>1433</v>
      </c>
      <c r="N12">
        <v>0.56769999999999998</v>
      </c>
      <c r="O12" s="8">
        <f>Table1345678910111213234567[[#This Row],[LOADED LITRES]]*Table1345678910111213234567[[#This Row],[Rate]]</f>
        <v>22063.092799999999</v>
      </c>
      <c r="P12" s="9" t="s">
        <v>1379</v>
      </c>
      <c r="Q12" t="s">
        <v>1530</v>
      </c>
    </row>
    <row r="13" spans="1:20" ht="15" hidden="1" thickTop="1" x14ac:dyDescent="0.3">
      <c r="A13" s="7">
        <v>45827</v>
      </c>
      <c r="B13" s="7">
        <v>45827</v>
      </c>
      <c r="C13" t="s">
        <v>103</v>
      </c>
      <c r="D13" t="s">
        <v>33</v>
      </c>
      <c r="E13" t="s">
        <v>1353</v>
      </c>
      <c r="F13">
        <v>427257040</v>
      </c>
      <c r="G13">
        <v>802794719</v>
      </c>
      <c r="H13">
        <v>39367</v>
      </c>
      <c r="I13">
        <v>39510</v>
      </c>
      <c r="J13">
        <f>Table1345678910111213234567[[#This Row],[LOADED LITRES]]-Table1345678910111213234567[[#This Row],[Offloading Litres]]</f>
        <v>-143</v>
      </c>
      <c r="K13" t="s">
        <v>32</v>
      </c>
      <c r="L13" s="17" t="s">
        <v>1377</v>
      </c>
      <c r="M13" t="s">
        <v>1434</v>
      </c>
      <c r="N13">
        <v>0.56769999999999998</v>
      </c>
      <c r="O13" s="8">
        <f>Table1345678910111213234567[[#This Row],[LOADED LITRES]]*Table1345678910111213234567[[#This Row],[Rate]]</f>
        <v>22348.6459</v>
      </c>
      <c r="P13" s="9" t="s">
        <v>1378</v>
      </c>
      <c r="Q13" t="s">
        <v>1531</v>
      </c>
    </row>
    <row r="14" spans="1:20" ht="15" hidden="1" thickTop="1" x14ac:dyDescent="0.3">
      <c r="A14" s="7">
        <v>45828</v>
      </c>
      <c r="B14" s="7">
        <v>45829</v>
      </c>
      <c r="C14" t="s">
        <v>22</v>
      </c>
      <c r="D14" t="s">
        <v>26</v>
      </c>
      <c r="E14" t="s">
        <v>1381</v>
      </c>
      <c r="F14">
        <v>427279893</v>
      </c>
      <c r="G14">
        <v>802799444</v>
      </c>
      <c r="H14">
        <v>39896</v>
      </c>
      <c r="I14">
        <v>39581</v>
      </c>
      <c r="J14">
        <f>Table1345678910111213234567[[#This Row],[LOADED LITRES]]-Table1345678910111213234567[[#This Row],[Offloading Litres]]</f>
        <v>315</v>
      </c>
      <c r="K14" t="s">
        <v>236</v>
      </c>
      <c r="L14" s="17" t="s">
        <v>1380</v>
      </c>
      <c r="M14" t="s">
        <v>1435</v>
      </c>
      <c r="N14">
        <v>0.85</v>
      </c>
      <c r="O14" s="8">
        <f>Table1345678910111213234567[[#This Row],[LOADED LITRES]]*Table1345678910111213234567[[#This Row],[Rate]]</f>
        <v>33911.599999999999</v>
      </c>
      <c r="P14" s="9" t="s">
        <v>1385</v>
      </c>
      <c r="Q14" t="s">
        <v>1504</v>
      </c>
    </row>
    <row r="15" spans="1:20" ht="15" thickTop="1" x14ac:dyDescent="0.3">
      <c r="A15" s="7">
        <v>45828</v>
      </c>
      <c r="B15" s="7">
        <v>45829</v>
      </c>
      <c r="C15" t="s">
        <v>23</v>
      </c>
      <c r="D15" t="s">
        <v>349</v>
      </c>
      <c r="E15" t="s">
        <v>248</v>
      </c>
      <c r="F15">
        <v>427280111</v>
      </c>
      <c r="G15">
        <v>802799534</v>
      </c>
      <c r="H15">
        <v>39795</v>
      </c>
      <c r="I15">
        <v>39440</v>
      </c>
      <c r="J15">
        <f>Table1345678910111213234567[[#This Row],[LOADED LITRES]]-Table1345678910111213234567[[#This Row],[Offloading Litres]]</f>
        <v>355</v>
      </c>
      <c r="K15" t="s">
        <v>236</v>
      </c>
      <c r="L15" s="17" t="s">
        <v>1382</v>
      </c>
      <c r="M15" t="s">
        <v>1436</v>
      </c>
      <c r="N15">
        <v>0.72289999999999999</v>
      </c>
      <c r="O15" s="8">
        <f>Table1345678910111213234567[[#This Row],[LOADED LITRES]]*Table1345678910111213234567[[#This Row],[Rate]]</f>
        <v>28767.805499999999</v>
      </c>
      <c r="P15" s="9" t="s">
        <v>1386</v>
      </c>
      <c r="Q15" t="s">
        <v>1507</v>
      </c>
    </row>
    <row r="16" spans="1:20" hidden="1" x14ac:dyDescent="0.3">
      <c r="A16" s="7">
        <v>45828</v>
      </c>
      <c r="B16" s="7">
        <v>45829</v>
      </c>
      <c r="C16" t="s">
        <v>30</v>
      </c>
      <c r="D16" t="s">
        <v>35</v>
      </c>
      <c r="E16" t="s">
        <v>1353</v>
      </c>
      <c r="F16">
        <v>427313965</v>
      </c>
      <c r="G16">
        <v>802804106</v>
      </c>
      <c r="H16">
        <v>38802</v>
      </c>
      <c r="I16">
        <v>38820</v>
      </c>
      <c r="J16">
        <f>Table1345678910111213234567[[#This Row],[LOADED LITRES]]-Table1345678910111213234567[[#This Row],[Offloading Litres]]</f>
        <v>-18</v>
      </c>
      <c r="K16" t="s">
        <v>32</v>
      </c>
      <c r="L16" s="17" t="s">
        <v>1383</v>
      </c>
      <c r="M16" t="s">
        <v>1437</v>
      </c>
      <c r="N16">
        <v>0.56769999999999998</v>
      </c>
      <c r="O16" s="8">
        <f>Table1345678910111213234567[[#This Row],[LOADED LITRES]]*Table1345678910111213234567[[#This Row],[Rate]]</f>
        <v>22027.895399999998</v>
      </c>
      <c r="P16" s="9" t="s">
        <v>1388</v>
      </c>
      <c r="Q16" t="s">
        <v>1506</v>
      </c>
    </row>
    <row r="17" spans="1:17" hidden="1" x14ac:dyDescent="0.3">
      <c r="A17" s="7">
        <v>45828</v>
      </c>
      <c r="B17" s="7">
        <v>45829</v>
      </c>
      <c r="C17" t="s">
        <v>29</v>
      </c>
      <c r="D17" t="s">
        <v>24</v>
      </c>
      <c r="E17" t="s">
        <v>1353</v>
      </c>
      <c r="F17">
        <v>427314411</v>
      </c>
      <c r="G17">
        <v>802804772</v>
      </c>
      <c r="H17">
        <v>39614</v>
      </c>
      <c r="I17">
        <v>39570</v>
      </c>
      <c r="J17">
        <f>Table1345678910111213234567[[#This Row],[LOADED LITRES]]-Table1345678910111213234567[[#This Row],[Offloading Litres]]</f>
        <v>44</v>
      </c>
      <c r="K17" t="s">
        <v>32</v>
      </c>
      <c r="L17" s="17" t="s">
        <v>1384</v>
      </c>
      <c r="M17" t="s">
        <v>1438</v>
      </c>
      <c r="N17">
        <v>0.56769999999999998</v>
      </c>
      <c r="O17" s="8">
        <f>Table1345678910111213234567[[#This Row],[LOADED LITRES]]*Table1345678910111213234567[[#This Row],[Rate]]</f>
        <v>22488.8678</v>
      </c>
      <c r="P17" s="9" t="s">
        <v>1387</v>
      </c>
      <c r="Q17" t="s">
        <v>1505</v>
      </c>
    </row>
    <row r="18" spans="1:17" hidden="1" x14ac:dyDescent="0.3">
      <c r="A18" s="7">
        <v>45829</v>
      </c>
      <c r="B18" s="7">
        <v>45830</v>
      </c>
      <c r="C18" t="s">
        <v>21</v>
      </c>
      <c r="D18" t="s">
        <v>27</v>
      </c>
      <c r="E18" t="s">
        <v>1389</v>
      </c>
      <c r="F18">
        <v>427349837</v>
      </c>
      <c r="G18">
        <v>802806694</v>
      </c>
      <c r="H18">
        <v>39265</v>
      </c>
      <c r="I18">
        <v>39250</v>
      </c>
      <c r="J18">
        <f>Table1345678910111213234567[[#This Row],[LOADED LITRES]]-Table1345678910111213234567[[#This Row],[Offloading Litres]]</f>
        <v>15</v>
      </c>
      <c r="K18" t="s">
        <v>32</v>
      </c>
      <c r="L18" s="18" t="s">
        <v>1390</v>
      </c>
      <c r="M18" t="s">
        <v>1439</v>
      </c>
      <c r="N18">
        <v>0.62119999999999997</v>
      </c>
      <c r="O18" s="8">
        <f>Table1345678910111213234567[[#This Row],[LOADED LITRES]]*Table1345678910111213234567[[#This Row],[Rate]]</f>
        <v>24391.417999999998</v>
      </c>
      <c r="P18" s="9" t="s">
        <v>1392</v>
      </c>
      <c r="Q18" t="s">
        <v>1508</v>
      </c>
    </row>
    <row r="19" spans="1:17" hidden="1" x14ac:dyDescent="0.3">
      <c r="A19" s="7">
        <v>45830</v>
      </c>
      <c r="B19" s="7">
        <v>45831</v>
      </c>
      <c r="C19" t="s">
        <v>17</v>
      </c>
      <c r="D19" t="s">
        <v>624</v>
      </c>
      <c r="E19" t="s">
        <v>243</v>
      </c>
      <c r="F19">
        <v>427356014</v>
      </c>
      <c r="G19">
        <v>802807711</v>
      </c>
      <c r="H19">
        <v>38914</v>
      </c>
      <c r="I19">
        <v>38752</v>
      </c>
      <c r="J19">
        <f>Table1345678910111213234567[[#This Row],[LOADED LITRES]]-Table1345678910111213234567[[#This Row],[Offloading Litres]]</f>
        <v>162</v>
      </c>
      <c r="K19" t="s">
        <v>32</v>
      </c>
      <c r="L19" s="17" t="s">
        <v>1391</v>
      </c>
      <c r="M19" t="s">
        <v>1440</v>
      </c>
      <c r="N19">
        <v>0.50409999999999999</v>
      </c>
      <c r="O19" s="8">
        <f>Table1345678910111213234567[[#This Row],[LOADED LITRES]]*Table1345678910111213234567[[#This Row],[Rate]]</f>
        <v>19616.547399999999</v>
      </c>
      <c r="P19" s="9" t="s">
        <v>1396</v>
      </c>
      <c r="Q19" t="s">
        <v>1509</v>
      </c>
    </row>
    <row r="20" spans="1:17" hidden="1" x14ac:dyDescent="0.3">
      <c r="A20" s="7">
        <v>45830</v>
      </c>
      <c r="B20" s="7">
        <v>45831</v>
      </c>
      <c r="C20" t="s">
        <v>22</v>
      </c>
      <c r="D20" t="s">
        <v>26</v>
      </c>
      <c r="E20" t="s">
        <v>243</v>
      </c>
      <c r="F20">
        <v>427355873</v>
      </c>
      <c r="G20">
        <v>802808121</v>
      </c>
      <c r="H20">
        <v>39798</v>
      </c>
      <c r="I20">
        <v>39587</v>
      </c>
      <c r="J20">
        <f>Table1345678910111213234567[[#This Row],[LOADED LITRES]]-Table1345678910111213234567[[#This Row],[Offloading Litres]]</f>
        <v>211</v>
      </c>
      <c r="K20" t="s">
        <v>32</v>
      </c>
      <c r="L20" s="17" t="s">
        <v>1393</v>
      </c>
      <c r="M20" t="s">
        <v>1441</v>
      </c>
      <c r="N20">
        <v>0.50409999999999999</v>
      </c>
      <c r="O20" s="8">
        <f>Table1345678910111213234567[[#This Row],[LOADED LITRES]]*Table1345678910111213234567[[#This Row],[Rate]]</f>
        <v>20062.1718</v>
      </c>
      <c r="P20" s="9" t="s">
        <v>1397</v>
      </c>
      <c r="Q20" t="s">
        <v>1513</v>
      </c>
    </row>
    <row r="21" spans="1:17" hidden="1" x14ac:dyDescent="0.3">
      <c r="A21" s="7">
        <v>45830</v>
      </c>
      <c r="B21" s="7">
        <v>45831</v>
      </c>
      <c r="C21" t="s">
        <v>30</v>
      </c>
      <c r="D21" t="s">
        <v>35</v>
      </c>
      <c r="E21" t="s">
        <v>1353</v>
      </c>
      <c r="F21">
        <v>427356067</v>
      </c>
      <c r="G21">
        <v>802808213</v>
      </c>
      <c r="H21">
        <v>38823</v>
      </c>
      <c r="I21">
        <v>38869</v>
      </c>
      <c r="J21">
        <f>Table1345678910111213234567[[#This Row],[LOADED LITRES]]-Table1345678910111213234567[[#This Row],[Offloading Litres]]</f>
        <v>-46</v>
      </c>
      <c r="K21" t="s">
        <v>32</v>
      </c>
      <c r="L21" s="17" t="s">
        <v>1394</v>
      </c>
      <c r="M21" t="s">
        <v>1442</v>
      </c>
      <c r="N21">
        <v>0.56769999999999998</v>
      </c>
      <c r="O21" s="8">
        <f>Table1345678910111213234567[[#This Row],[LOADED LITRES]]*Table1345678910111213234567[[#This Row],[Rate]]</f>
        <v>22039.8171</v>
      </c>
      <c r="P21" s="9" t="s">
        <v>1400</v>
      </c>
      <c r="Q21" t="s">
        <v>1511</v>
      </c>
    </row>
    <row r="22" spans="1:17" x14ac:dyDescent="0.3">
      <c r="A22" s="7">
        <v>45830</v>
      </c>
      <c r="B22" s="7">
        <v>45831</v>
      </c>
      <c r="C22" t="s">
        <v>23</v>
      </c>
      <c r="D22" t="s">
        <v>349</v>
      </c>
      <c r="E22" t="s">
        <v>1353</v>
      </c>
      <c r="F22">
        <v>427356092</v>
      </c>
      <c r="G22">
        <v>802808228</v>
      </c>
      <c r="H22">
        <v>38828</v>
      </c>
      <c r="I22">
        <v>38799</v>
      </c>
      <c r="J22">
        <f>Table1345678910111213234567[[#This Row],[LOADED LITRES]]-Table1345678910111213234567[[#This Row],[Offloading Litres]]</f>
        <v>29</v>
      </c>
      <c r="K22" t="s">
        <v>32</v>
      </c>
      <c r="L22" s="18" t="s">
        <v>1395</v>
      </c>
      <c r="M22" t="s">
        <v>1443</v>
      </c>
      <c r="N22">
        <v>0.56769999999999998</v>
      </c>
      <c r="O22" s="8">
        <f>Table1345678910111213234567[[#This Row],[LOADED LITRES]]*Table1345678910111213234567[[#This Row],[Rate]]</f>
        <v>22042.655599999998</v>
      </c>
      <c r="P22" s="9" t="s">
        <v>1402</v>
      </c>
      <c r="Q22" t="s">
        <v>1510</v>
      </c>
    </row>
    <row r="23" spans="1:17" hidden="1" x14ac:dyDescent="0.3">
      <c r="A23" s="7">
        <v>45831</v>
      </c>
      <c r="B23" s="7">
        <v>45832</v>
      </c>
      <c r="C23" t="s">
        <v>21</v>
      </c>
      <c r="D23" t="s">
        <v>27</v>
      </c>
      <c r="E23" t="s">
        <v>1399</v>
      </c>
      <c r="F23">
        <v>427356218</v>
      </c>
      <c r="G23">
        <v>802810992</v>
      </c>
      <c r="H23">
        <v>39333</v>
      </c>
      <c r="I23">
        <v>39345</v>
      </c>
      <c r="J23">
        <f>Table1345678910111213234567[[#This Row],[LOADED LITRES]]-Table1345678910111213234567[[#This Row],[Offloading Litres]]</f>
        <v>-12</v>
      </c>
      <c r="K23" t="s">
        <v>32</v>
      </c>
      <c r="L23" s="17" t="s">
        <v>1398</v>
      </c>
      <c r="M23" t="s">
        <v>1444</v>
      </c>
      <c r="N23">
        <v>0.56769999999999998</v>
      </c>
      <c r="O23" s="8">
        <f>Table1345678910111213234567[[#This Row],[LOADED LITRES]]*Table1345678910111213234567[[#This Row],[Rate]]</f>
        <v>22329.344099999998</v>
      </c>
      <c r="P23" s="9" t="s">
        <v>1404</v>
      </c>
      <c r="Q23" t="s">
        <v>1514</v>
      </c>
    </row>
    <row r="24" spans="1:17" hidden="1" x14ac:dyDescent="0.3">
      <c r="A24" s="7">
        <v>45831</v>
      </c>
      <c r="B24" s="7">
        <v>45832</v>
      </c>
      <c r="C24" t="s">
        <v>17</v>
      </c>
      <c r="D24" t="s">
        <v>624</v>
      </c>
      <c r="E24" t="s">
        <v>1353</v>
      </c>
      <c r="F24">
        <v>427356230</v>
      </c>
      <c r="G24">
        <v>802813750</v>
      </c>
      <c r="H24">
        <v>38854</v>
      </c>
      <c r="I24">
        <v>38842</v>
      </c>
      <c r="J24">
        <f>Table1345678910111213234567[[#This Row],[LOADED LITRES]]-Table1345678910111213234567[[#This Row],[Offloading Litres]]</f>
        <v>12</v>
      </c>
      <c r="K24" t="s">
        <v>32</v>
      </c>
      <c r="L24" s="17" t="s">
        <v>1401</v>
      </c>
      <c r="M24" t="s">
        <v>1445</v>
      </c>
      <c r="N24">
        <v>0.56769999999999998</v>
      </c>
      <c r="O24" s="8">
        <f>Table1345678910111213234567[[#This Row],[LOADED LITRES]]*Table1345678910111213234567[[#This Row],[Rate]]</f>
        <v>22057.415799999999</v>
      </c>
      <c r="P24" s="9" t="s">
        <v>1405</v>
      </c>
      <c r="Q24" t="s">
        <v>1512</v>
      </c>
    </row>
    <row r="25" spans="1:17" hidden="1" x14ac:dyDescent="0.3">
      <c r="A25" s="7">
        <v>45832</v>
      </c>
      <c r="B25" s="7">
        <v>45832</v>
      </c>
      <c r="C25" t="s">
        <v>22</v>
      </c>
      <c r="D25" t="s">
        <v>26</v>
      </c>
      <c r="E25" t="s">
        <v>243</v>
      </c>
      <c r="F25">
        <v>427429799</v>
      </c>
      <c r="G25">
        <v>802808121</v>
      </c>
      <c r="H25">
        <v>39870</v>
      </c>
      <c r="I25">
        <v>39871</v>
      </c>
      <c r="J25">
        <f>Table1345678910111213234567[[#This Row],[LOADED LITRES]]-Table1345678910111213234567[[#This Row],[Offloading Litres]]</f>
        <v>-1</v>
      </c>
      <c r="K25" t="s">
        <v>32</v>
      </c>
      <c r="L25" s="17" t="s">
        <v>1403</v>
      </c>
      <c r="M25" t="s">
        <v>1446</v>
      </c>
      <c r="N25">
        <v>0.50409999999999999</v>
      </c>
      <c r="O25" s="8">
        <f>Table1345678910111213234567[[#This Row],[LOADED LITRES]]*Table1345678910111213234567[[#This Row],[Rate]]</f>
        <v>20098.467000000001</v>
      </c>
      <c r="P25" s="9" t="s">
        <v>1406</v>
      </c>
      <c r="Q25" t="s">
        <v>1518</v>
      </c>
    </row>
    <row r="26" spans="1:17" hidden="1" x14ac:dyDescent="0.3">
      <c r="A26" s="7">
        <v>45832</v>
      </c>
      <c r="B26" s="7">
        <v>45833</v>
      </c>
      <c r="C26" t="s">
        <v>30</v>
      </c>
      <c r="D26" t="s">
        <v>35</v>
      </c>
      <c r="E26" t="s">
        <v>1353</v>
      </c>
      <c r="F26">
        <v>427429706</v>
      </c>
      <c r="G26">
        <v>802818473</v>
      </c>
      <c r="H26">
        <v>38844</v>
      </c>
      <c r="I26">
        <v>38811</v>
      </c>
      <c r="J26">
        <f>Table1345678910111213234567[[#This Row],[LOADED LITRES]]-Table1345678910111213234567[[#This Row],[Offloading Litres]]</f>
        <v>33</v>
      </c>
      <c r="K26" t="s">
        <v>32</v>
      </c>
      <c r="L26" s="17" t="s">
        <v>1454</v>
      </c>
      <c r="M26" t="s">
        <v>1447</v>
      </c>
      <c r="N26">
        <v>0.56769999999999998</v>
      </c>
      <c r="O26" s="8">
        <f>Table1345678910111213234567[[#This Row],[LOADED LITRES]]*Table1345678910111213234567[[#This Row],[Rate]]</f>
        <v>22051.738799999999</v>
      </c>
      <c r="P26" s="9" t="s">
        <v>1409</v>
      </c>
      <c r="Q26" t="s">
        <v>1517</v>
      </c>
    </row>
    <row r="27" spans="1:17" x14ac:dyDescent="0.3">
      <c r="A27" s="7">
        <v>45833</v>
      </c>
      <c r="B27" s="7">
        <v>45834</v>
      </c>
      <c r="C27" t="s">
        <v>23</v>
      </c>
      <c r="D27" t="s">
        <v>19</v>
      </c>
      <c r="E27" t="s">
        <v>1408</v>
      </c>
      <c r="F27">
        <v>2755254009</v>
      </c>
      <c r="G27">
        <v>3017138974</v>
      </c>
      <c r="H27">
        <v>39000</v>
      </c>
      <c r="I27">
        <v>38772</v>
      </c>
      <c r="J27">
        <f>Table1345678910111213234567[[#This Row],[LOADED LITRES]]-Table1345678910111213234567[[#This Row],[Offloading Litres]]</f>
        <v>228</v>
      </c>
      <c r="K27" t="s">
        <v>32</v>
      </c>
      <c r="L27">
        <v>3017138974</v>
      </c>
      <c r="M27" t="s">
        <v>1449</v>
      </c>
      <c r="N27">
        <v>1.0900000000000001</v>
      </c>
      <c r="O27" s="8">
        <f>Table1345678910111213234567[[#This Row],[LOADED LITRES]]*Table1345678910111213234567[[#This Row],[Rate]]</f>
        <v>42510</v>
      </c>
      <c r="P27" s="9" t="s">
        <v>1415</v>
      </c>
      <c r="Q27" t="s">
        <v>1515</v>
      </c>
    </row>
    <row r="28" spans="1:17" hidden="1" x14ac:dyDescent="0.3">
      <c r="A28" s="7">
        <v>45833</v>
      </c>
      <c r="B28" s="7">
        <v>45833</v>
      </c>
      <c r="C28" t="s">
        <v>28</v>
      </c>
      <c r="D28" t="s">
        <v>349</v>
      </c>
      <c r="E28" t="s">
        <v>1353</v>
      </c>
      <c r="F28">
        <v>427429714</v>
      </c>
      <c r="G28">
        <v>802819714</v>
      </c>
      <c r="H28">
        <v>39726</v>
      </c>
      <c r="I28">
        <v>39731</v>
      </c>
      <c r="J28">
        <f>Table1345678910111213234567[[#This Row],[LOADED LITRES]]-Table1345678910111213234567[[#This Row],[Offloading Litres]]</f>
        <v>-5</v>
      </c>
      <c r="K28" t="s">
        <v>32</v>
      </c>
      <c r="L28" s="17" t="s">
        <v>1407</v>
      </c>
      <c r="M28" t="s">
        <v>1448</v>
      </c>
      <c r="N28">
        <v>0.56769999999999998</v>
      </c>
      <c r="O28" s="8">
        <f>Table1345678910111213234567[[#This Row],[LOADED LITRES]]*Table1345678910111213234567[[#This Row],[Rate]]</f>
        <v>22552.450199999999</v>
      </c>
      <c r="P28" s="9" t="s">
        <v>1422</v>
      </c>
      <c r="Q28" t="s">
        <v>1516</v>
      </c>
    </row>
    <row r="29" spans="1:17" hidden="1" x14ac:dyDescent="0.3">
      <c r="A29" s="7">
        <v>45833</v>
      </c>
      <c r="B29" s="7">
        <v>45834</v>
      </c>
      <c r="C29" t="s">
        <v>22</v>
      </c>
      <c r="D29" t="s">
        <v>26</v>
      </c>
      <c r="E29" t="s">
        <v>1414</v>
      </c>
      <c r="F29">
        <v>427502640</v>
      </c>
      <c r="G29">
        <v>802823538</v>
      </c>
      <c r="H29">
        <v>39835</v>
      </c>
      <c r="I29">
        <v>39701</v>
      </c>
      <c r="J29">
        <f>Table1345678910111213234567[[#This Row],[LOADED LITRES]]-Table1345678910111213234567[[#This Row],[Offloading Litres]]</f>
        <v>134</v>
      </c>
      <c r="K29" t="s">
        <v>32</v>
      </c>
      <c r="L29" s="17" t="s">
        <v>1410</v>
      </c>
      <c r="M29" t="s">
        <v>1450</v>
      </c>
      <c r="N29">
        <v>0.8</v>
      </c>
      <c r="O29" s="8">
        <f>Table1345678910111213234567[[#This Row],[LOADED LITRES]]*Table1345678910111213234567[[#This Row],[Rate]]</f>
        <v>31868</v>
      </c>
      <c r="P29" s="9" t="s">
        <v>1418</v>
      </c>
      <c r="Q29" t="s">
        <v>1521</v>
      </c>
    </row>
    <row r="30" spans="1:17" hidden="1" x14ac:dyDescent="0.3">
      <c r="A30" s="7">
        <v>45833</v>
      </c>
      <c r="B30" s="7">
        <v>45835</v>
      </c>
      <c r="C30" t="s">
        <v>21</v>
      </c>
      <c r="D30" t="s">
        <v>27</v>
      </c>
      <c r="E30" t="s">
        <v>1414</v>
      </c>
      <c r="F30">
        <v>427502596</v>
      </c>
      <c r="G30">
        <v>802824160</v>
      </c>
      <c r="H30">
        <v>39347</v>
      </c>
      <c r="I30">
        <v>39225</v>
      </c>
      <c r="J30">
        <f>Table1345678910111213234567[[#This Row],[LOADED LITRES]]-Table1345678910111213234567[[#This Row],[Offloading Litres]]</f>
        <v>122</v>
      </c>
      <c r="K30" t="s">
        <v>32</v>
      </c>
      <c r="L30" s="17" t="s">
        <v>1411</v>
      </c>
      <c r="M30" t="s">
        <v>1451</v>
      </c>
      <c r="N30">
        <v>0.8</v>
      </c>
      <c r="O30" s="8">
        <f>Table1345678910111213234567[[#This Row],[LOADED LITRES]]*Table1345678910111213234567[[#This Row],[Rate]]</f>
        <v>31477.600000000002</v>
      </c>
      <c r="P30" s="9" t="s">
        <v>1420</v>
      </c>
      <c r="Q30" t="s">
        <v>1533</v>
      </c>
    </row>
    <row r="31" spans="1:17" hidden="1" x14ac:dyDescent="0.3">
      <c r="A31" s="7">
        <v>45834</v>
      </c>
      <c r="B31" s="7">
        <v>45835</v>
      </c>
      <c r="C31" t="s">
        <v>30</v>
      </c>
      <c r="D31" t="s">
        <v>35</v>
      </c>
      <c r="E31" t="s">
        <v>1414</v>
      </c>
      <c r="F31">
        <v>427513264</v>
      </c>
      <c r="G31">
        <v>802826511</v>
      </c>
      <c r="H31">
        <v>38826</v>
      </c>
      <c r="I31">
        <v>38568</v>
      </c>
      <c r="J31">
        <f>Table1345678910111213234567[[#This Row],[LOADED LITRES]]-Table1345678910111213234567[[#This Row],[Offloading Litres]]</f>
        <v>258</v>
      </c>
      <c r="K31" t="s">
        <v>32</v>
      </c>
      <c r="L31" s="17" t="s">
        <v>1413</v>
      </c>
      <c r="M31" t="s">
        <v>1452</v>
      </c>
      <c r="N31">
        <v>0.8</v>
      </c>
      <c r="O31" s="8">
        <f>Table1345678910111213234567[[#This Row],[LOADED LITRES]]*Table1345678910111213234567[[#This Row],[Rate]]</f>
        <v>31060.800000000003</v>
      </c>
      <c r="P31" s="9" t="s">
        <v>1421</v>
      </c>
      <c r="Q31" t="s">
        <v>1520</v>
      </c>
    </row>
    <row r="32" spans="1:17" hidden="1" x14ac:dyDescent="0.3">
      <c r="A32" s="7">
        <v>45833</v>
      </c>
      <c r="B32" s="7">
        <v>45834</v>
      </c>
      <c r="C32" t="s">
        <v>17</v>
      </c>
      <c r="D32" t="s">
        <v>624</v>
      </c>
      <c r="E32" t="s">
        <v>1353</v>
      </c>
      <c r="F32">
        <v>427466041</v>
      </c>
      <c r="G32">
        <v>802824497</v>
      </c>
      <c r="H32">
        <v>38867</v>
      </c>
      <c r="I32">
        <v>38867</v>
      </c>
      <c r="J32">
        <f>Table1345678910111213234567[[#This Row],[LOADED LITRES]]-Table1345678910111213234567[[#This Row],[Offloading Litres]]</f>
        <v>0</v>
      </c>
      <c r="K32" t="s">
        <v>32</v>
      </c>
      <c r="L32" s="17" t="s">
        <v>1412</v>
      </c>
      <c r="M32" t="s">
        <v>1453</v>
      </c>
      <c r="N32">
        <v>0.56769999999999998</v>
      </c>
      <c r="O32" s="8">
        <f>Table1345678910111213234567[[#This Row],[LOADED LITRES]]*Table1345678910111213234567[[#This Row],[Rate]]</f>
        <v>22064.795900000001</v>
      </c>
      <c r="P32" s="9" t="s">
        <v>1416</v>
      </c>
      <c r="Q32" t="s">
        <v>1519</v>
      </c>
    </row>
    <row r="33" spans="1:17" hidden="1" x14ac:dyDescent="0.3">
      <c r="A33" s="7">
        <v>45834</v>
      </c>
      <c r="B33" s="7">
        <v>45835</v>
      </c>
      <c r="C33" t="s">
        <v>34</v>
      </c>
      <c r="D33" t="s">
        <v>15</v>
      </c>
      <c r="E33" t="s">
        <v>1353</v>
      </c>
      <c r="F33">
        <v>427466212</v>
      </c>
      <c r="G33">
        <v>802827714</v>
      </c>
      <c r="H33">
        <v>38823</v>
      </c>
      <c r="I33">
        <v>38641</v>
      </c>
      <c r="J33">
        <f>Table1345678910111213234567[[#This Row],[LOADED LITRES]]-Table1345678910111213234567[[#This Row],[Offloading Litres]]</f>
        <v>182</v>
      </c>
      <c r="K33" t="s">
        <v>32</v>
      </c>
      <c r="L33" s="18" t="s">
        <v>1417</v>
      </c>
      <c r="M33" t="s">
        <v>1455</v>
      </c>
      <c r="N33">
        <v>0.56769999999999998</v>
      </c>
      <c r="O33" s="8">
        <f>Table1345678910111213234567[[#This Row],[LOADED LITRES]]*Table1345678910111213234567[[#This Row],[Rate]]</f>
        <v>22039.8171</v>
      </c>
      <c r="P33" s="9" t="s">
        <v>1419</v>
      </c>
      <c r="Q33" t="s">
        <v>1522</v>
      </c>
    </row>
    <row r="34" spans="1:17" hidden="1" x14ac:dyDescent="0.3">
      <c r="A34" s="7">
        <v>45836</v>
      </c>
      <c r="B34" s="7">
        <v>45837</v>
      </c>
      <c r="C34" t="s">
        <v>29</v>
      </c>
      <c r="D34" t="s">
        <v>24</v>
      </c>
      <c r="E34" t="s">
        <v>1456</v>
      </c>
      <c r="F34">
        <v>2755261784</v>
      </c>
      <c r="G34">
        <v>3017144056</v>
      </c>
      <c r="H34">
        <v>39981</v>
      </c>
      <c r="I34">
        <v>39668</v>
      </c>
      <c r="J34">
        <f>Table1345678910111213234567[[#This Row],[LOADED LITRES]]-Table1345678910111213234567[[#This Row],[Offloading Litres]]</f>
        <v>313</v>
      </c>
      <c r="K34" t="s">
        <v>1457</v>
      </c>
      <c r="L34" t="s">
        <v>1458</v>
      </c>
      <c r="M34" t="s">
        <v>1471</v>
      </c>
      <c r="N34">
        <v>0.69240000000000002</v>
      </c>
      <c r="O34" s="8">
        <f>Table1345678910111213234567[[#This Row],[LOADED LITRES]]*Table1345678910111213234567[[#This Row],[Rate]]</f>
        <v>27682.844400000002</v>
      </c>
      <c r="P34" s="9" t="s">
        <v>1459</v>
      </c>
      <c r="Q34" t="s">
        <v>1524</v>
      </c>
    </row>
    <row r="35" spans="1:17" hidden="1" x14ac:dyDescent="0.3">
      <c r="A35" s="7">
        <v>45836</v>
      </c>
      <c r="B35" s="7">
        <v>45837</v>
      </c>
      <c r="C35" t="s">
        <v>17</v>
      </c>
      <c r="D35" t="s">
        <v>624</v>
      </c>
      <c r="E35" t="s">
        <v>1353</v>
      </c>
      <c r="F35">
        <v>427466270</v>
      </c>
      <c r="G35">
        <v>802837528</v>
      </c>
      <c r="H35">
        <v>38830</v>
      </c>
      <c r="I35">
        <v>38662</v>
      </c>
      <c r="J35">
        <f>Table1345678910111213234567[[#This Row],[LOADED LITRES]]-Table1345678910111213234567[[#This Row],[Offloading Litres]]</f>
        <v>168</v>
      </c>
      <c r="K35" t="s">
        <v>32</v>
      </c>
      <c r="L35" s="17" t="s">
        <v>1460</v>
      </c>
      <c r="M35" t="s">
        <v>1472</v>
      </c>
      <c r="N35">
        <v>0.56769999999999998</v>
      </c>
      <c r="O35" s="8">
        <f>Table1345678910111213234567[[#This Row],[LOADED LITRES]]*Table1345678910111213234567[[#This Row],[Rate]]</f>
        <v>22043.791000000001</v>
      </c>
      <c r="P35" s="9" t="s">
        <v>1461</v>
      </c>
      <c r="Q35" t="s">
        <v>1525</v>
      </c>
    </row>
    <row r="36" spans="1:17" hidden="1" x14ac:dyDescent="0.3">
      <c r="A36" s="7">
        <v>45837</v>
      </c>
      <c r="B36" s="7">
        <v>45837</v>
      </c>
      <c r="C36" t="s">
        <v>22</v>
      </c>
      <c r="D36" t="s">
        <v>26</v>
      </c>
      <c r="E36" t="s">
        <v>1381</v>
      </c>
      <c r="F36">
        <v>427505737</v>
      </c>
      <c r="G36">
        <v>802838968</v>
      </c>
      <c r="H36">
        <v>39895</v>
      </c>
      <c r="I36">
        <v>39493</v>
      </c>
      <c r="J36">
        <f>Table1345678910111213234567[[#This Row],[LOADED LITRES]]-Table1345678910111213234567[[#This Row],[Offloading Litres]]</f>
        <v>402</v>
      </c>
      <c r="K36" t="s">
        <v>236</v>
      </c>
      <c r="L36" s="17" t="s">
        <v>1462</v>
      </c>
      <c r="M36" t="s">
        <v>1473</v>
      </c>
      <c r="N36">
        <v>0.85</v>
      </c>
      <c r="O36" s="8">
        <f>Table1345678910111213234567[[#This Row],[LOADED LITRES]]*Table1345678910111213234567[[#This Row],[Rate]]</f>
        <v>33910.75</v>
      </c>
      <c r="P36" s="9" t="s">
        <v>1463</v>
      </c>
      <c r="Q36" t="s">
        <v>1528</v>
      </c>
    </row>
    <row r="37" spans="1:17" hidden="1" x14ac:dyDescent="0.3">
      <c r="A37" s="7">
        <v>45837</v>
      </c>
      <c r="B37" s="7">
        <v>45837</v>
      </c>
      <c r="C37" t="s">
        <v>30</v>
      </c>
      <c r="D37" t="s">
        <v>349</v>
      </c>
      <c r="E37" t="s">
        <v>243</v>
      </c>
      <c r="F37">
        <v>427503787</v>
      </c>
      <c r="G37">
        <v>80283895</v>
      </c>
      <c r="H37">
        <v>38881</v>
      </c>
      <c r="I37">
        <v>38885</v>
      </c>
      <c r="J37">
        <f>Table1345678910111213234567[[#This Row],[LOADED LITRES]]-Table1345678910111213234567[[#This Row],[Offloading Litres]]</f>
        <v>-4</v>
      </c>
      <c r="K37" t="s">
        <v>32</v>
      </c>
      <c r="L37" s="18" t="s">
        <v>1464</v>
      </c>
      <c r="M37" t="s">
        <v>1474</v>
      </c>
      <c r="N37">
        <v>0.50409999999999999</v>
      </c>
      <c r="O37" s="8">
        <f>Table1345678910111213234567[[#This Row],[LOADED LITRES]]*Table1345678910111213234567[[#This Row],[Rate]]</f>
        <v>19599.912100000001</v>
      </c>
      <c r="P37" s="9" t="s">
        <v>1465</v>
      </c>
      <c r="Q37" t="s">
        <v>1527</v>
      </c>
    </row>
    <row r="38" spans="1:17" hidden="1" x14ac:dyDescent="0.3">
      <c r="A38" s="7">
        <v>45837</v>
      </c>
      <c r="B38" s="7">
        <v>45837</v>
      </c>
      <c r="C38" t="s">
        <v>28</v>
      </c>
      <c r="D38" t="s">
        <v>33</v>
      </c>
      <c r="E38" t="s">
        <v>1353</v>
      </c>
      <c r="F38">
        <v>427466251</v>
      </c>
      <c r="G38">
        <v>802839134</v>
      </c>
      <c r="H38">
        <v>39718</v>
      </c>
      <c r="I38">
        <v>39697</v>
      </c>
      <c r="J38">
        <f>Table1345678910111213234567[[#This Row],[LOADED LITRES]]-Table1345678910111213234567[[#This Row],[Offloading Litres]]</f>
        <v>21</v>
      </c>
      <c r="K38" t="s">
        <v>32</v>
      </c>
      <c r="L38" s="18" t="s">
        <v>1466</v>
      </c>
      <c r="M38" t="s">
        <v>1475</v>
      </c>
      <c r="N38">
        <v>0.56769999999999998</v>
      </c>
      <c r="O38" s="8">
        <f>Table1345678910111213234567[[#This Row],[LOADED LITRES]]*Table1345678910111213234567[[#This Row],[Rate]]</f>
        <v>22547.908599999999</v>
      </c>
      <c r="P38" s="9" t="s">
        <v>1467</v>
      </c>
      <c r="Q38" t="s">
        <v>1526</v>
      </c>
    </row>
    <row r="39" spans="1:17" hidden="1" x14ac:dyDescent="0.3">
      <c r="A39" s="7">
        <v>45837</v>
      </c>
      <c r="B39" s="7">
        <v>45838</v>
      </c>
      <c r="C39" t="s">
        <v>103</v>
      </c>
      <c r="D39" t="s">
        <v>287</v>
      </c>
      <c r="E39" t="s">
        <v>1468</v>
      </c>
      <c r="F39">
        <v>427550918</v>
      </c>
      <c r="G39">
        <v>802840079</v>
      </c>
      <c r="H39">
        <v>39367</v>
      </c>
      <c r="I39">
        <v>39435</v>
      </c>
      <c r="J39">
        <f>Table1345678910111213234567[[#This Row],[LOADED LITRES]]-Table1345678910111213234567[[#This Row],[Offloading Litres]]</f>
        <v>-68</v>
      </c>
      <c r="K39" t="s">
        <v>32</v>
      </c>
      <c r="L39" s="17" t="s">
        <v>1469</v>
      </c>
      <c r="M39" t="s">
        <v>1476</v>
      </c>
      <c r="N39">
        <v>0.8</v>
      </c>
      <c r="O39" s="8">
        <f>Table1345678910111213234567[[#This Row],[LOADED LITRES]]*Table1345678910111213234567[[#This Row],[Rate]]</f>
        <v>31493.600000000002</v>
      </c>
      <c r="P39" s="9" t="s">
        <v>1470</v>
      </c>
      <c r="Q39" t="s">
        <v>1523</v>
      </c>
    </row>
  </sheetData>
  <phoneticPr fontId="2" type="noConversion"/>
  <conditionalFormatting sqref="F1:G1">
    <cfRule type="duplicateValues" dxfId="18" priority="1"/>
  </conditionalFormatting>
  <conditionalFormatting sqref="G1">
    <cfRule type="duplicateValues" dxfId="17" priority="2"/>
  </conditionalFormatting>
  <conditionalFormatting sqref="L1">
    <cfRule type="duplicateValues" dxfId="16" priority="3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889E7-CF20-4AAA-9390-3D4C2D93890C}">
  <dimension ref="A1:T48"/>
  <sheetViews>
    <sheetView workbookViewId="0">
      <selection activeCell="M16" sqref="A1:T48"/>
    </sheetView>
  </sheetViews>
  <sheetFormatPr defaultRowHeight="14.4" x14ac:dyDescent="0.3"/>
  <cols>
    <col min="1" max="2" width="13.33203125" customWidth="1"/>
    <col min="3" max="3" width="9.88671875" customWidth="1"/>
    <col min="4" max="4" width="20.33203125" customWidth="1"/>
    <col min="5" max="5" width="22.88671875" customWidth="1"/>
    <col min="6" max="9" width="13.33203125" customWidth="1"/>
    <col min="10" max="10" width="9" customWidth="1"/>
    <col min="11" max="11" width="9.21875" customWidth="1"/>
    <col min="12" max="12" width="11.44140625" customWidth="1"/>
    <col min="13" max="13" width="13.5546875" customWidth="1"/>
    <col min="14" max="14" width="9.44140625" customWidth="1"/>
    <col min="15" max="15" width="10.109375" style="8" customWidth="1"/>
    <col min="16" max="16" width="14.6640625" customWidth="1"/>
    <col min="17" max="17" width="10.6640625" customWidth="1"/>
    <col min="18" max="18" width="14.6640625" customWidth="1"/>
    <col min="19" max="19" width="9.33203125" customWidth="1"/>
  </cols>
  <sheetData>
    <row r="1" spans="1:20" ht="15.6" thickBot="1" x14ac:dyDescent="0.35">
      <c r="A1" s="1" t="s">
        <v>0</v>
      </c>
      <c r="B1" s="1" t="s">
        <v>1</v>
      </c>
      <c r="C1" s="2" t="s">
        <v>38</v>
      </c>
      <c r="D1" s="2" t="s">
        <v>2</v>
      </c>
      <c r="E1" s="2" t="s">
        <v>3</v>
      </c>
      <c r="F1" s="2" t="s">
        <v>37</v>
      </c>
      <c r="G1" s="2" t="s">
        <v>4</v>
      </c>
      <c r="H1" s="2" t="s">
        <v>36</v>
      </c>
      <c r="I1" s="2" t="s">
        <v>5</v>
      </c>
      <c r="J1" s="2" t="s">
        <v>6</v>
      </c>
      <c r="K1" s="2" t="s">
        <v>7</v>
      </c>
      <c r="L1" s="3" t="s">
        <v>8</v>
      </c>
      <c r="M1" s="2" t="s">
        <v>9</v>
      </c>
      <c r="N1" s="2" t="s">
        <v>10</v>
      </c>
      <c r="O1" s="4" t="s">
        <v>11</v>
      </c>
      <c r="P1" s="5" t="s">
        <v>12</v>
      </c>
      <c r="Q1" s="5" t="s">
        <v>18</v>
      </c>
      <c r="R1" s="2" t="s">
        <v>13</v>
      </c>
      <c r="S1" s="6" t="s">
        <v>20</v>
      </c>
      <c r="T1" s="6" t="s">
        <v>14</v>
      </c>
    </row>
    <row r="2" spans="1:20" ht="15" hidden="1" thickTop="1" x14ac:dyDescent="0.3">
      <c r="A2" s="7">
        <v>45839</v>
      </c>
      <c r="B2" s="7">
        <v>45839</v>
      </c>
      <c r="C2" t="s">
        <v>17</v>
      </c>
      <c r="D2" t="s">
        <v>624</v>
      </c>
      <c r="E2" t="s">
        <v>1399</v>
      </c>
      <c r="F2">
        <v>427587630</v>
      </c>
      <c r="G2">
        <v>802856362</v>
      </c>
      <c r="H2">
        <v>38944</v>
      </c>
      <c r="I2">
        <v>38974</v>
      </c>
      <c r="J2">
        <f>Table13456789101112132345678[[#This Row],[LOADED LITRES]]-Table13456789101112132345678[[#This Row],[Offloading Litres]]</f>
        <v>-30</v>
      </c>
      <c r="K2" t="s">
        <v>32</v>
      </c>
      <c r="L2" s="17" t="s">
        <v>1564</v>
      </c>
      <c r="M2" t="s">
        <v>1619</v>
      </c>
      <c r="N2">
        <v>0.56769999999999998</v>
      </c>
      <c r="O2" s="8">
        <f>Table13456789101112132345678[[#This Row],[LOADED LITRES]]*Table13456789101112132345678[[#This Row],[Rate]]</f>
        <v>22108.5088</v>
      </c>
      <c r="P2" s="9" t="s">
        <v>1618</v>
      </c>
      <c r="Q2" t="s">
        <v>1745</v>
      </c>
    </row>
    <row r="3" spans="1:20" ht="15" hidden="1" thickTop="1" x14ac:dyDescent="0.3">
      <c r="A3" s="7">
        <v>45839</v>
      </c>
      <c r="B3" s="7">
        <v>45840</v>
      </c>
      <c r="C3" t="s">
        <v>29</v>
      </c>
      <c r="D3" t="s">
        <v>24</v>
      </c>
      <c r="E3" t="s">
        <v>1468</v>
      </c>
      <c r="F3">
        <v>427550927</v>
      </c>
      <c r="G3">
        <v>802856466</v>
      </c>
      <c r="H3">
        <v>39929</v>
      </c>
      <c r="I3">
        <v>39709</v>
      </c>
      <c r="J3">
        <f>Table13456789101112132345678[[#This Row],[LOADED LITRES]]-Table13456789101112132345678[[#This Row],[Offloading Litres]]</f>
        <v>220</v>
      </c>
      <c r="K3" t="s">
        <v>32</v>
      </c>
      <c r="L3" s="17" t="s">
        <v>1565</v>
      </c>
      <c r="M3" t="s">
        <v>1620</v>
      </c>
      <c r="N3">
        <v>0.8</v>
      </c>
      <c r="O3" s="8">
        <f>Table13456789101112132345678[[#This Row],[LOADED LITRES]]*Table13456789101112132345678[[#This Row],[Rate]]</f>
        <v>31943.200000000001</v>
      </c>
      <c r="P3" s="9" t="s">
        <v>1481</v>
      </c>
      <c r="Q3" t="s">
        <v>1746</v>
      </c>
    </row>
    <row r="4" spans="1:20" ht="15" hidden="1" thickTop="1" x14ac:dyDescent="0.3">
      <c r="A4" s="7">
        <v>45839</v>
      </c>
      <c r="B4" s="7">
        <v>45840</v>
      </c>
      <c r="C4" t="s">
        <v>28</v>
      </c>
      <c r="D4" t="s">
        <v>33</v>
      </c>
      <c r="E4" t="s">
        <v>1353</v>
      </c>
      <c r="F4">
        <v>427583901</v>
      </c>
      <c r="G4">
        <v>802857053</v>
      </c>
      <c r="H4">
        <v>39643</v>
      </c>
      <c r="I4">
        <v>39441</v>
      </c>
      <c r="J4">
        <f>Table13456789101112132345678[[#This Row],[LOADED LITRES]]-Table13456789101112132345678[[#This Row],[Offloading Litres]]</f>
        <v>202</v>
      </c>
      <c r="K4" t="s">
        <v>32</v>
      </c>
      <c r="L4" s="17">
        <v>5550274</v>
      </c>
      <c r="M4" t="s">
        <v>1621</v>
      </c>
      <c r="N4">
        <v>0.56769999999999998</v>
      </c>
      <c r="O4" s="8">
        <f>Table13456789101112132345678[[#This Row],[LOADED LITRES]]*Table13456789101112132345678[[#This Row],[Rate]]</f>
        <v>22505.331099999999</v>
      </c>
      <c r="P4" s="9" t="s">
        <v>1479</v>
      </c>
      <c r="Q4" t="s">
        <v>1749</v>
      </c>
    </row>
    <row r="5" spans="1:20" ht="15" hidden="1" thickTop="1" x14ac:dyDescent="0.3">
      <c r="A5" s="7">
        <v>45839</v>
      </c>
      <c r="B5" s="7">
        <v>45840</v>
      </c>
      <c r="C5" t="s">
        <v>34</v>
      </c>
      <c r="D5" t="s">
        <v>286</v>
      </c>
      <c r="E5" t="s">
        <v>1353</v>
      </c>
      <c r="F5">
        <v>427584187</v>
      </c>
      <c r="G5">
        <v>802857618</v>
      </c>
      <c r="H5">
        <v>38800</v>
      </c>
      <c r="I5">
        <v>38663</v>
      </c>
      <c r="J5">
        <f>Table13456789101112132345678[[#This Row],[LOADED LITRES]]-Table13456789101112132345678[[#This Row],[Offloading Litres]]</f>
        <v>137</v>
      </c>
      <c r="K5" t="s">
        <v>32</v>
      </c>
      <c r="L5" s="17" t="s">
        <v>1566</v>
      </c>
      <c r="M5" t="s">
        <v>1622</v>
      </c>
      <c r="N5">
        <v>0.56769999999999998</v>
      </c>
      <c r="O5" s="8">
        <f>Table13456789101112132345678[[#This Row],[LOADED LITRES]]*Table13456789101112132345678[[#This Row],[Rate]]</f>
        <v>22026.76</v>
      </c>
      <c r="P5" s="9" t="s">
        <v>1480</v>
      </c>
      <c r="Q5" t="s">
        <v>1735</v>
      </c>
    </row>
    <row r="6" spans="1:20" ht="15" hidden="1" thickTop="1" x14ac:dyDescent="0.3">
      <c r="A6" s="7">
        <v>45839</v>
      </c>
      <c r="B6" s="7">
        <v>45840</v>
      </c>
      <c r="C6" t="s">
        <v>30</v>
      </c>
      <c r="D6" t="s">
        <v>349</v>
      </c>
      <c r="E6" t="s">
        <v>1353</v>
      </c>
      <c r="F6">
        <v>427587621</v>
      </c>
      <c r="G6">
        <v>802857179</v>
      </c>
      <c r="H6">
        <v>38834</v>
      </c>
      <c r="I6">
        <v>38671</v>
      </c>
      <c r="J6">
        <f>Table13456789101112132345678[[#This Row],[LOADED LITRES]]-Table13456789101112132345678[[#This Row],[Offloading Litres]]</f>
        <v>163</v>
      </c>
      <c r="K6" t="s">
        <v>32</v>
      </c>
      <c r="L6" s="18" t="s">
        <v>1567</v>
      </c>
      <c r="M6" t="s">
        <v>1623</v>
      </c>
      <c r="N6">
        <v>0.56769999999999998</v>
      </c>
      <c r="O6" s="8">
        <f>Table13456789101112132345678[[#This Row],[LOADED LITRES]]*Table13456789101112132345678[[#This Row],[Rate]]</f>
        <v>22046.061799999999</v>
      </c>
      <c r="P6" s="9" t="s">
        <v>1482</v>
      </c>
      <c r="Q6" t="s">
        <v>1747</v>
      </c>
    </row>
    <row r="7" spans="1:20" ht="15" hidden="1" thickTop="1" x14ac:dyDescent="0.3">
      <c r="A7" s="7">
        <v>45839</v>
      </c>
      <c r="B7" s="7">
        <v>45840</v>
      </c>
      <c r="C7" t="s">
        <v>22</v>
      </c>
      <c r="D7" t="s">
        <v>26</v>
      </c>
      <c r="E7" t="s">
        <v>1477</v>
      </c>
      <c r="F7">
        <v>427584179</v>
      </c>
      <c r="G7">
        <v>802858072</v>
      </c>
      <c r="H7">
        <v>39776</v>
      </c>
      <c r="I7">
        <v>39617</v>
      </c>
      <c r="J7">
        <f>Table13456789101112132345678[[#This Row],[LOADED LITRES]]-Table13456789101112132345678[[#This Row],[Offloading Litres]]</f>
        <v>159</v>
      </c>
      <c r="K7" t="s">
        <v>32</v>
      </c>
      <c r="L7" s="17" t="s">
        <v>1568</v>
      </c>
      <c r="M7" t="s">
        <v>1624</v>
      </c>
      <c r="N7">
        <v>0.57030000000000003</v>
      </c>
      <c r="O7" s="8">
        <f>Table13456789101112132345678[[#This Row],[LOADED LITRES]]*Table13456789101112132345678[[#This Row],[Rate]]</f>
        <v>22684.252800000002</v>
      </c>
      <c r="P7" s="9" t="s">
        <v>1483</v>
      </c>
      <c r="Q7" t="s">
        <v>1736</v>
      </c>
    </row>
    <row r="8" spans="1:20" ht="15" thickTop="1" x14ac:dyDescent="0.3">
      <c r="A8" s="7">
        <v>45839</v>
      </c>
      <c r="B8" s="7">
        <v>45841</v>
      </c>
      <c r="C8" t="s">
        <v>23</v>
      </c>
      <c r="D8" t="s">
        <v>19</v>
      </c>
      <c r="E8" t="s">
        <v>40</v>
      </c>
      <c r="F8">
        <v>427540992</v>
      </c>
      <c r="G8">
        <v>802859957</v>
      </c>
      <c r="H8">
        <v>38837</v>
      </c>
      <c r="I8">
        <v>38687</v>
      </c>
      <c r="J8">
        <f>Table13456789101112132345678[[#This Row],[LOADED LITRES]]-Table13456789101112132345678[[#This Row],[Offloading Litres]]</f>
        <v>150</v>
      </c>
      <c r="K8" t="s">
        <v>32</v>
      </c>
      <c r="L8">
        <v>427540992</v>
      </c>
      <c r="M8" t="s">
        <v>1657</v>
      </c>
      <c r="N8">
        <v>0.84</v>
      </c>
      <c r="O8" s="8">
        <f>Table13456789101112132345678[[#This Row],[LOADED LITRES]]*Table13456789101112132345678[[#This Row],[Rate]]</f>
        <v>32623.079999999998</v>
      </c>
      <c r="P8" s="9" t="s">
        <v>1484</v>
      </c>
      <c r="Q8" t="s">
        <v>1748</v>
      </c>
    </row>
    <row r="9" spans="1:20" hidden="1" x14ac:dyDescent="0.3">
      <c r="A9" s="7">
        <v>45839</v>
      </c>
      <c r="B9" s="7">
        <v>45841</v>
      </c>
      <c r="C9" t="s">
        <v>103</v>
      </c>
      <c r="D9" t="s">
        <v>287</v>
      </c>
      <c r="E9" t="s">
        <v>1478</v>
      </c>
      <c r="F9">
        <v>427542297</v>
      </c>
      <c r="G9">
        <v>802860451</v>
      </c>
      <c r="H9">
        <v>39347</v>
      </c>
      <c r="I9">
        <v>39392</v>
      </c>
      <c r="J9">
        <f>Table13456789101112132345678[[#This Row],[LOADED LITRES]]-Table13456789101112132345678[[#This Row],[Offloading Litres]]</f>
        <v>-45</v>
      </c>
      <c r="K9" t="s">
        <v>32</v>
      </c>
      <c r="L9">
        <v>427542297</v>
      </c>
      <c r="M9" t="s">
        <v>1658</v>
      </c>
      <c r="N9">
        <v>0.94</v>
      </c>
      <c r="O9" s="8">
        <f>Table13456789101112132345678[[#This Row],[LOADED LITRES]]*Table13456789101112132345678[[#This Row],[Rate]]</f>
        <v>36986.18</v>
      </c>
      <c r="P9" s="9" t="s">
        <v>1485</v>
      </c>
      <c r="Q9" t="s">
        <v>1737</v>
      </c>
    </row>
    <row r="10" spans="1:20" hidden="1" x14ac:dyDescent="0.3">
      <c r="A10" s="7">
        <v>45840</v>
      </c>
      <c r="B10" s="7">
        <v>45840</v>
      </c>
      <c r="C10" t="s">
        <v>1593</v>
      </c>
      <c r="D10" t="s">
        <v>1594</v>
      </c>
      <c r="E10" t="s">
        <v>243</v>
      </c>
      <c r="F10">
        <v>427550940</v>
      </c>
      <c r="G10">
        <v>802860728</v>
      </c>
      <c r="H10">
        <v>38877</v>
      </c>
      <c r="J10">
        <f>Table13456789101112132345678[[#This Row],[LOADED LITRES]]-Table13456789101112132345678[[#This Row],[Offloading Litres]]</f>
        <v>38877</v>
      </c>
      <c r="L10" s="17" t="s">
        <v>1606</v>
      </c>
      <c r="M10" t="s">
        <v>1625</v>
      </c>
      <c r="N10">
        <v>0.50409999999999999</v>
      </c>
      <c r="O10" s="8">
        <f>Table13456789101112132345678[[#This Row],[LOADED LITRES]]*Table13456789101112132345678[[#This Row],[Rate]]</f>
        <v>19597.895700000001</v>
      </c>
      <c r="P10" s="9" t="s">
        <v>1595</v>
      </c>
      <c r="Q10" t="s">
        <v>2008</v>
      </c>
    </row>
    <row r="11" spans="1:20" hidden="1" x14ac:dyDescent="0.3">
      <c r="A11" s="7">
        <v>45840</v>
      </c>
      <c r="B11" s="7">
        <v>45841</v>
      </c>
      <c r="C11" t="s">
        <v>17</v>
      </c>
      <c r="D11" t="s">
        <v>624</v>
      </c>
      <c r="E11" t="s">
        <v>40</v>
      </c>
      <c r="F11">
        <v>427542383</v>
      </c>
      <c r="G11">
        <v>802864141</v>
      </c>
      <c r="H11">
        <v>38820</v>
      </c>
      <c r="I11">
        <v>38799</v>
      </c>
      <c r="J11">
        <f>Table13456789101112132345678[[#This Row],[LOADED LITRES]]-Table13456789101112132345678[[#This Row],[Offloading Litres]]</f>
        <v>21</v>
      </c>
      <c r="K11" t="s">
        <v>32</v>
      </c>
      <c r="L11">
        <v>427542383</v>
      </c>
      <c r="M11" t="s">
        <v>1659</v>
      </c>
      <c r="N11">
        <v>0.84</v>
      </c>
      <c r="O11" s="8">
        <f>Table13456789101112132345678[[#This Row],[LOADED LITRES]]*Table13456789101112132345678[[#This Row],[Rate]]</f>
        <v>32608.799999999999</v>
      </c>
      <c r="P11" s="9" t="s">
        <v>1486</v>
      </c>
      <c r="Q11" t="s">
        <v>1738</v>
      </c>
    </row>
    <row r="12" spans="1:20" hidden="1" x14ac:dyDescent="0.3">
      <c r="A12" s="7">
        <v>45841</v>
      </c>
      <c r="B12" s="7">
        <v>45842</v>
      </c>
      <c r="C12" t="s">
        <v>28</v>
      </c>
      <c r="D12" t="s">
        <v>33</v>
      </c>
      <c r="E12" t="s">
        <v>1478</v>
      </c>
      <c r="F12">
        <v>427540793</v>
      </c>
      <c r="G12">
        <v>802865953</v>
      </c>
      <c r="H12">
        <v>39683</v>
      </c>
      <c r="I12">
        <v>39569</v>
      </c>
      <c r="J12">
        <f>Table13456789101112132345678[[#This Row],[LOADED LITRES]]-Table13456789101112132345678[[#This Row],[Offloading Litres]]</f>
        <v>114</v>
      </c>
      <c r="K12" t="s">
        <v>32</v>
      </c>
      <c r="L12">
        <v>427540793</v>
      </c>
      <c r="M12" t="s">
        <v>1660</v>
      </c>
      <c r="N12">
        <v>0.94</v>
      </c>
      <c r="O12" s="8">
        <f>Table13456789101112132345678[[#This Row],[LOADED LITRES]]*Table13456789101112132345678[[#This Row],[Rate]]</f>
        <v>37302.019999999997</v>
      </c>
      <c r="P12" s="9" t="s">
        <v>1487</v>
      </c>
      <c r="Q12" t="s">
        <v>1750</v>
      </c>
    </row>
    <row r="13" spans="1:20" hidden="1" x14ac:dyDescent="0.3">
      <c r="A13" s="7">
        <v>45841</v>
      </c>
      <c r="B13" s="7">
        <v>45842</v>
      </c>
      <c r="C13" t="s">
        <v>34</v>
      </c>
      <c r="D13" t="s">
        <v>349</v>
      </c>
      <c r="E13" t="s">
        <v>40</v>
      </c>
      <c r="F13">
        <v>427540248</v>
      </c>
      <c r="G13">
        <v>802866217</v>
      </c>
      <c r="H13">
        <v>38920</v>
      </c>
      <c r="I13">
        <v>38800</v>
      </c>
      <c r="J13">
        <f>Table13456789101112132345678[[#This Row],[LOADED LITRES]]-Table13456789101112132345678[[#This Row],[Offloading Litres]]</f>
        <v>120</v>
      </c>
      <c r="K13" t="s">
        <v>32</v>
      </c>
      <c r="L13">
        <v>427540248</v>
      </c>
      <c r="M13" t="s">
        <v>1661</v>
      </c>
      <c r="N13">
        <v>0.84</v>
      </c>
      <c r="O13" s="8">
        <f>Table13456789101112132345678[[#This Row],[LOADED LITRES]]*Table13456789101112132345678[[#This Row],[Rate]]</f>
        <v>32692.799999999999</v>
      </c>
      <c r="P13" s="9" t="s">
        <v>1488</v>
      </c>
      <c r="Q13" t="s">
        <v>1739</v>
      </c>
    </row>
    <row r="14" spans="1:20" hidden="1" x14ac:dyDescent="0.3">
      <c r="A14" s="7">
        <v>45842</v>
      </c>
      <c r="B14" s="7">
        <v>45843</v>
      </c>
      <c r="C14" t="s">
        <v>30</v>
      </c>
      <c r="D14" t="s">
        <v>35</v>
      </c>
      <c r="E14" t="s">
        <v>1468</v>
      </c>
      <c r="F14">
        <v>427820548</v>
      </c>
      <c r="G14">
        <v>802871952</v>
      </c>
      <c r="H14">
        <v>38892</v>
      </c>
      <c r="I14">
        <v>38595</v>
      </c>
      <c r="J14">
        <f>Table13456789101112132345678[[#This Row],[LOADED LITRES]]-Table13456789101112132345678[[#This Row],[Offloading Litres]]</f>
        <v>297</v>
      </c>
      <c r="K14" t="s">
        <v>32</v>
      </c>
      <c r="L14" s="17" t="s">
        <v>1569</v>
      </c>
      <c r="M14" t="s">
        <v>1626</v>
      </c>
      <c r="N14">
        <v>0.8</v>
      </c>
      <c r="O14" s="8">
        <f>Table13456789101112132345678[[#This Row],[LOADED LITRES]]*Table13456789101112132345678[[#This Row],[Rate]]</f>
        <v>31113.600000000002</v>
      </c>
      <c r="P14" s="9" t="s">
        <v>1489</v>
      </c>
      <c r="Q14" t="s">
        <v>1740</v>
      </c>
    </row>
    <row r="15" spans="1:20" hidden="1" x14ac:dyDescent="0.3">
      <c r="A15" s="7">
        <v>45842</v>
      </c>
      <c r="B15" s="7">
        <v>45843</v>
      </c>
      <c r="C15" t="s">
        <v>22</v>
      </c>
      <c r="D15" t="s">
        <v>286</v>
      </c>
      <c r="E15" t="s">
        <v>1468</v>
      </c>
      <c r="F15">
        <v>427820721</v>
      </c>
      <c r="G15">
        <v>802872153</v>
      </c>
      <c r="H15">
        <v>39870</v>
      </c>
      <c r="I15">
        <v>39552</v>
      </c>
      <c r="J15">
        <f>Table13456789101112132345678[[#This Row],[LOADED LITRES]]-Table13456789101112132345678[[#This Row],[Offloading Litres]]</f>
        <v>318</v>
      </c>
      <c r="K15" t="s">
        <v>32</v>
      </c>
      <c r="L15" s="17" t="s">
        <v>1570</v>
      </c>
      <c r="M15" t="s">
        <v>1627</v>
      </c>
      <c r="N15">
        <v>0.8</v>
      </c>
      <c r="O15" s="8">
        <f>Table13456789101112132345678[[#This Row],[LOADED LITRES]]*Table13456789101112132345678[[#This Row],[Rate]]</f>
        <v>31896</v>
      </c>
      <c r="P15" s="9" t="s">
        <v>1490</v>
      </c>
      <c r="Q15" t="s">
        <v>1742</v>
      </c>
    </row>
    <row r="16" spans="1:20" x14ac:dyDescent="0.3">
      <c r="A16" s="7">
        <v>45842</v>
      </c>
      <c r="B16" s="7">
        <v>45843</v>
      </c>
      <c r="C16" t="s">
        <v>23</v>
      </c>
      <c r="D16" t="s">
        <v>624</v>
      </c>
      <c r="E16" t="s">
        <v>1468</v>
      </c>
      <c r="F16">
        <v>427820636</v>
      </c>
      <c r="G16">
        <v>802873096</v>
      </c>
      <c r="H16">
        <v>38833</v>
      </c>
      <c r="I16">
        <v>38566</v>
      </c>
      <c r="J16">
        <f>Table13456789101112132345678[[#This Row],[LOADED LITRES]]-Table13456789101112132345678[[#This Row],[Offloading Litres]]</f>
        <v>267</v>
      </c>
      <c r="K16" t="s">
        <v>32</v>
      </c>
      <c r="L16" s="17" t="s">
        <v>1572</v>
      </c>
      <c r="M16" t="s">
        <v>1628</v>
      </c>
      <c r="N16">
        <v>0.8</v>
      </c>
      <c r="O16" s="8">
        <f>Table13456789101112132345678[[#This Row],[LOADED LITRES]]*Table13456789101112132345678[[#This Row],[Rate]]</f>
        <v>31066.400000000001</v>
      </c>
      <c r="P16" s="9" t="s">
        <v>1491</v>
      </c>
      <c r="Q16" t="s">
        <v>1743</v>
      </c>
    </row>
    <row r="17" spans="1:17" hidden="1" x14ac:dyDescent="0.3">
      <c r="A17" s="7">
        <v>45842</v>
      </c>
      <c r="B17" s="7">
        <v>45843</v>
      </c>
      <c r="C17" t="s">
        <v>29</v>
      </c>
      <c r="D17" t="s">
        <v>24</v>
      </c>
      <c r="E17" t="s">
        <v>1468</v>
      </c>
      <c r="F17">
        <v>427820552</v>
      </c>
      <c r="G17">
        <v>802873780</v>
      </c>
      <c r="H17">
        <v>39630</v>
      </c>
      <c r="I17">
        <v>39530</v>
      </c>
      <c r="J17">
        <f>Table13456789101112132345678[[#This Row],[LOADED LITRES]]-Table13456789101112132345678[[#This Row],[Offloading Litres]]</f>
        <v>100</v>
      </c>
      <c r="K17" t="s">
        <v>32</v>
      </c>
      <c r="L17" s="17" t="s">
        <v>1571</v>
      </c>
      <c r="M17" t="s">
        <v>1629</v>
      </c>
      <c r="N17">
        <v>0.8</v>
      </c>
      <c r="O17" s="8">
        <f>Table13456789101112132345678[[#This Row],[LOADED LITRES]]*Table13456789101112132345678[[#This Row],[Rate]]</f>
        <v>31704</v>
      </c>
      <c r="P17" s="9" t="s">
        <v>1492</v>
      </c>
      <c r="Q17" t="s">
        <v>1741</v>
      </c>
    </row>
    <row r="18" spans="1:17" hidden="1" x14ac:dyDescent="0.3">
      <c r="A18" s="7">
        <v>45845</v>
      </c>
      <c r="B18" s="7">
        <v>45846</v>
      </c>
      <c r="C18" t="s">
        <v>28</v>
      </c>
      <c r="D18" t="s">
        <v>33</v>
      </c>
      <c r="E18" t="s">
        <v>1351</v>
      </c>
      <c r="F18">
        <v>427968428</v>
      </c>
      <c r="G18">
        <v>802880855</v>
      </c>
      <c r="H18">
        <v>39691</v>
      </c>
      <c r="I18">
        <v>39377</v>
      </c>
      <c r="J18">
        <f>Table13456789101112132345678[[#This Row],[LOADED LITRES]]-Table13456789101112132345678[[#This Row],[Offloading Litres]]</f>
        <v>314</v>
      </c>
      <c r="K18" t="s">
        <v>236</v>
      </c>
      <c r="L18" s="17" t="s">
        <v>1573</v>
      </c>
      <c r="M18" t="s">
        <v>1630</v>
      </c>
      <c r="N18">
        <v>0.69240000000000002</v>
      </c>
      <c r="O18" s="8">
        <f>Table13456789101112132345678[[#This Row],[LOADED LITRES]]*Table13456789101112132345678[[#This Row],[Rate]]</f>
        <v>27482.0484</v>
      </c>
      <c r="P18" s="9" t="s">
        <v>1493</v>
      </c>
      <c r="Q18" t="s">
        <v>1744</v>
      </c>
    </row>
    <row r="19" spans="1:17" hidden="1" x14ac:dyDescent="0.3">
      <c r="A19" s="7">
        <v>45852</v>
      </c>
      <c r="B19" s="7">
        <v>45853</v>
      </c>
      <c r="C19" t="s">
        <v>30</v>
      </c>
      <c r="D19" t="s">
        <v>35</v>
      </c>
      <c r="E19" t="s">
        <v>1389</v>
      </c>
      <c r="F19">
        <v>428144075</v>
      </c>
      <c r="G19">
        <v>802906649</v>
      </c>
      <c r="H19">
        <v>40178</v>
      </c>
      <c r="I19">
        <v>39928</v>
      </c>
      <c r="J19">
        <f>Table13456789101112132345678[[#This Row],[LOADED LITRES]]-Table13456789101112132345678[[#This Row],[Offloading Litres]]</f>
        <v>250</v>
      </c>
      <c r="K19" t="s">
        <v>236</v>
      </c>
      <c r="L19" s="17" t="s">
        <v>1574</v>
      </c>
      <c r="M19" t="s">
        <v>1631</v>
      </c>
      <c r="N19">
        <v>0.62119999999999997</v>
      </c>
      <c r="O19" s="8">
        <f>Table13456789101112132345678[[#This Row],[LOADED LITRES]]*Table13456789101112132345678[[#This Row],[Rate]]</f>
        <v>24958.5736</v>
      </c>
      <c r="P19" s="9" t="s">
        <v>1494</v>
      </c>
      <c r="Q19" t="s">
        <v>1751</v>
      </c>
    </row>
    <row r="20" spans="1:17" hidden="1" x14ac:dyDescent="0.3">
      <c r="A20" s="7">
        <v>45853</v>
      </c>
      <c r="B20" s="7">
        <v>45854</v>
      </c>
      <c r="C20" t="s">
        <v>103</v>
      </c>
      <c r="D20" t="s">
        <v>287</v>
      </c>
      <c r="E20" t="s">
        <v>1468</v>
      </c>
      <c r="F20">
        <v>428252461</v>
      </c>
      <c r="G20">
        <v>802914285</v>
      </c>
      <c r="H20">
        <v>39290</v>
      </c>
      <c r="I20">
        <v>39318</v>
      </c>
      <c r="J20">
        <f>Table13456789101112132345678[[#This Row],[LOADED LITRES]]-Table13456789101112132345678[[#This Row],[Offloading Litres]]</f>
        <v>-28</v>
      </c>
      <c r="K20" t="s">
        <v>32</v>
      </c>
      <c r="L20" s="17" t="s">
        <v>1575</v>
      </c>
      <c r="M20" t="s">
        <v>1632</v>
      </c>
      <c r="N20">
        <v>0.8</v>
      </c>
      <c r="O20" s="8">
        <f>Table13456789101112132345678[[#This Row],[LOADED LITRES]]*Table13456789101112132345678[[#This Row],[Rate]]</f>
        <v>31432</v>
      </c>
      <c r="P20" s="9" t="s">
        <v>1496</v>
      </c>
      <c r="Q20" t="s">
        <v>1752</v>
      </c>
    </row>
    <row r="21" spans="1:17" x14ac:dyDescent="0.3">
      <c r="A21" s="7">
        <v>45853</v>
      </c>
      <c r="B21" s="7">
        <v>45854</v>
      </c>
      <c r="C21" t="s">
        <v>23</v>
      </c>
      <c r="D21" t="s">
        <v>624</v>
      </c>
      <c r="E21" t="s">
        <v>1495</v>
      </c>
      <c r="F21">
        <v>428254145</v>
      </c>
      <c r="G21">
        <v>802915003</v>
      </c>
      <c r="H21">
        <v>38808</v>
      </c>
      <c r="I21">
        <v>38707</v>
      </c>
      <c r="J21">
        <f>Table13456789101112132345678[[#This Row],[LOADED LITRES]]-Table13456789101112132345678[[#This Row],[Offloading Litres]]</f>
        <v>101</v>
      </c>
      <c r="K21" t="s">
        <v>32</v>
      </c>
      <c r="L21" s="17" t="s">
        <v>1576</v>
      </c>
      <c r="M21" t="s">
        <v>1633</v>
      </c>
      <c r="N21">
        <v>0.5776</v>
      </c>
      <c r="O21" s="8">
        <f>Table13456789101112132345678[[#This Row],[LOADED LITRES]]*Table13456789101112132345678[[#This Row],[Rate]]</f>
        <v>22415.500800000002</v>
      </c>
      <c r="P21" s="9" t="s">
        <v>1498</v>
      </c>
      <c r="Q21" t="s">
        <v>1754</v>
      </c>
    </row>
    <row r="22" spans="1:17" hidden="1" x14ac:dyDescent="0.3">
      <c r="A22" s="7">
        <v>45853</v>
      </c>
      <c r="B22" s="7">
        <v>45854</v>
      </c>
      <c r="C22" t="s">
        <v>17</v>
      </c>
      <c r="D22" t="s">
        <v>19</v>
      </c>
      <c r="E22" t="s">
        <v>1353</v>
      </c>
      <c r="F22">
        <v>428254162</v>
      </c>
      <c r="G22">
        <v>802915021</v>
      </c>
      <c r="H22">
        <v>38810</v>
      </c>
      <c r="I22">
        <v>38722</v>
      </c>
      <c r="J22">
        <f>Table13456789101112132345678[[#This Row],[LOADED LITRES]]-Table13456789101112132345678[[#This Row],[Offloading Litres]]</f>
        <v>88</v>
      </c>
      <c r="K22" t="s">
        <v>32</v>
      </c>
      <c r="L22" s="17" t="s">
        <v>1577</v>
      </c>
      <c r="M22" t="s">
        <v>1634</v>
      </c>
      <c r="N22">
        <v>0.56769999999999998</v>
      </c>
      <c r="O22" s="8">
        <f>Table13456789101112132345678[[#This Row],[LOADED LITRES]]*Table13456789101112132345678[[#This Row],[Rate]]</f>
        <v>22032.436999999998</v>
      </c>
      <c r="P22" s="9" t="s">
        <v>1497</v>
      </c>
      <c r="Q22" t="s">
        <v>1753</v>
      </c>
    </row>
    <row r="23" spans="1:17" hidden="1" x14ac:dyDescent="0.3">
      <c r="A23" s="7">
        <v>45855</v>
      </c>
      <c r="B23" s="7">
        <v>45855</v>
      </c>
      <c r="C23" t="s">
        <v>1593</v>
      </c>
      <c r="D23" t="s">
        <v>1594</v>
      </c>
      <c r="E23" t="s">
        <v>1353</v>
      </c>
      <c r="F23">
        <v>428294718</v>
      </c>
      <c r="G23">
        <v>802922515</v>
      </c>
      <c r="H23">
        <v>38797</v>
      </c>
      <c r="J23">
        <f>Table13456789101112132345678[[#This Row],[LOADED LITRES]]-Table13456789101112132345678[[#This Row],[Offloading Litres]]</f>
        <v>38797</v>
      </c>
      <c r="K23" t="s">
        <v>32</v>
      </c>
      <c r="L23" s="17" t="s">
        <v>1607</v>
      </c>
      <c r="M23" t="s">
        <v>1635</v>
      </c>
      <c r="N23">
        <v>0.56769999999999998</v>
      </c>
      <c r="O23" s="8">
        <f>Table13456789101112132345678[[#This Row],[LOADED LITRES]]*Table13456789101112132345678[[#This Row],[Rate]]</f>
        <v>22025.0569</v>
      </c>
      <c r="P23" s="9"/>
      <c r="Q23" t="s">
        <v>1777</v>
      </c>
    </row>
    <row r="24" spans="1:17" hidden="1" x14ac:dyDescent="0.3">
      <c r="A24" s="7">
        <v>45855</v>
      </c>
      <c r="B24" s="7">
        <v>45856</v>
      </c>
      <c r="C24" t="s">
        <v>22</v>
      </c>
      <c r="D24" t="s">
        <v>286</v>
      </c>
      <c r="E24" t="s">
        <v>1537</v>
      </c>
      <c r="F24">
        <v>428294731</v>
      </c>
      <c r="G24">
        <v>802922658</v>
      </c>
      <c r="H24">
        <v>39790</v>
      </c>
      <c r="I24">
        <v>39675</v>
      </c>
      <c r="J24">
        <f>Table13456789101112132345678[[#This Row],[LOADED LITRES]]-Table13456789101112132345678[[#This Row],[Offloading Litres]]</f>
        <v>115</v>
      </c>
      <c r="K24" t="s">
        <v>32</v>
      </c>
      <c r="L24" s="18" t="s">
        <v>1538</v>
      </c>
      <c r="M24" t="s">
        <v>1636</v>
      </c>
      <c r="N24">
        <v>0.77929999999999999</v>
      </c>
      <c r="O24" s="8">
        <f>Table13456789101112132345678[[#This Row],[LOADED LITRES]]*Table13456789101112132345678[[#This Row],[Rate]]</f>
        <v>31008.346999999998</v>
      </c>
      <c r="P24" s="9" t="s">
        <v>1539</v>
      </c>
      <c r="Q24" t="s">
        <v>1755</v>
      </c>
    </row>
    <row r="25" spans="1:17" hidden="1" x14ac:dyDescent="0.3">
      <c r="A25" s="7">
        <v>45858</v>
      </c>
      <c r="B25" s="7">
        <v>45859</v>
      </c>
      <c r="C25" t="s">
        <v>17</v>
      </c>
      <c r="D25" t="s">
        <v>19</v>
      </c>
      <c r="E25" t="s">
        <v>243</v>
      </c>
      <c r="F25">
        <v>428366050</v>
      </c>
      <c r="G25">
        <v>802933138</v>
      </c>
      <c r="H25">
        <v>38854</v>
      </c>
      <c r="I25">
        <v>38703</v>
      </c>
      <c r="J25">
        <f>Table13456789101112132345678[[#This Row],[LOADED LITRES]]-Table13456789101112132345678[[#This Row],[Offloading Litres]]</f>
        <v>151</v>
      </c>
      <c r="K25" t="s">
        <v>32</v>
      </c>
      <c r="L25" s="17" t="s">
        <v>1540</v>
      </c>
      <c r="M25" t="s">
        <v>1637</v>
      </c>
      <c r="N25">
        <v>0.50139999999999996</v>
      </c>
      <c r="O25" s="8">
        <f>Table13456789101112132345678[[#This Row],[LOADED LITRES]]*Table13456789101112132345678[[#This Row],[Rate]]</f>
        <v>19481.3956</v>
      </c>
      <c r="P25" s="9" t="s">
        <v>1542</v>
      </c>
      <c r="Q25" t="s">
        <v>1757</v>
      </c>
    </row>
    <row r="26" spans="1:17" x14ac:dyDescent="0.3">
      <c r="A26" s="7">
        <v>45858</v>
      </c>
      <c r="B26" s="7">
        <v>45859</v>
      </c>
      <c r="C26" t="s">
        <v>23</v>
      </c>
      <c r="D26" t="s">
        <v>624</v>
      </c>
      <c r="E26" t="s">
        <v>1541</v>
      </c>
      <c r="F26">
        <v>428329231</v>
      </c>
      <c r="G26">
        <v>802933142</v>
      </c>
      <c r="H26">
        <v>38860</v>
      </c>
      <c r="I26">
        <v>39296</v>
      </c>
      <c r="J26">
        <f>Table13456789101112132345678[[#This Row],[LOADED LITRES]]-Table13456789101112132345678[[#This Row],[Offloading Litres]]</f>
        <v>-436</v>
      </c>
      <c r="K26" t="s">
        <v>32</v>
      </c>
      <c r="L26" s="18" t="s">
        <v>1545</v>
      </c>
      <c r="M26" t="s">
        <v>1638</v>
      </c>
      <c r="N26">
        <v>0.6008</v>
      </c>
      <c r="O26" s="8">
        <f>Table13456789101112132345678[[#This Row],[LOADED LITRES]]*Table13456789101112132345678[[#This Row],[Rate]]</f>
        <v>23347.088</v>
      </c>
      <c r="P26" s="9" t="s">
        <v>1617</v>
      </c>
      <c r="Q26" t="s">
        <v>1758</v>
      </c>
    </row>
    <row r="27" spans="1:17" hidden="1" x14ac:dyDescent="0.3">
      <c r="A27" s="7">
        <v>45858</v>
      </c>
      <c r="B27" s="7">
        <v>45859</v>
      </c>
      <c r="C27" t="s">
        <v>103</v>
      </c>
      <c r="D27" t="s">
        <v>97</v>
      </c>
      <c r="E27" t="s">
        <v>243</v>
      </c>
      <c r="F27">
        <v>428365918</v>
      </c>
      <c r="G27">
        <v>802933141</v>
      </c>
      <c r="H27">
        <v>39339</v>
      </c>
      <c r="I27">
        <v>39296</v>
      </c>
      <c r="J27">
        <f>Table13456789101112132345678[[#This Row],[LOADED LITRES]]-Table13456789101112132345678[[#This Row],[Offloading Litres]]</f>
        <v>43</v>
      </c>
      <c r="K27" t="s">
        <v>32</v>
      </c>
      <c r="L27" s="17" t="s">
        <v>1578</v>
      </c>
      <c r="M27" t="s">
        <v>1639</v>
      </c>
      <c r="N27">
        <v>0.50409999999999999</v>
      </c>
      <c r="O27" s="8">
        <f>Table13456789101112132345678[[#This Row],[LOADED LITRES]]*Table13456789101112132345678[[#This Row],[Rate]]</f>
        <v>19830.7899</v>
      </c>
      <c r="P27" s="9" t="s">
        <v>1544</v>
      </c>
      <c r="Q27" t="s">
        <v>1756</v>
      </c>
    </row>
    <row r="28" spans="1:17" x14ac:dyDescent="0.3">
      <c r="A28" s="7">
        <v>45860</v>
      </c>
      <c r="B28" s="7">
        <v>45861</v>
      </c>
      <c r="C28" t="s">
        <v>23</v>
      </c>
      <c r="D28" t="s">
        <v>97</v>
      </c>
      <c r="E28" t="s">
        <v>1615</v>
      </c>
      <c r="F28">
        <v>428462682</v>
      </c>
      <c r="G28">
        <v>802942137</v>
      </c>
      <c r="H28">
        <v>38842</v>
      </c>
      <c r="I28">
        <v>38660</v>
      </c>
      <c r="J28">
        <f>Table13456789101112132345678[[#This Row],[LOADED LITRES]]-Table13456789101112132345678[[#This Row],[Offloading Litres]]</f>
        <v>182</v>
      </c>
      <c r="K28" t="s">
        <v>32</v>
      </c>
      <c r="L28" s="17" t="s">
        <v>1543</v>
      </c>
      <c r="M28" t="s">
        <v>1640</v>
      </c>
      <c r="N28">
        <v>0.56769999999999998</v>
      </c>
      <c r="O28" s="8">
        <f>Table13456789101112132345678[[#This Row],[LOADED LITRES]]*Table13456789101112132345678[[#This Row],[Rate]]</f>
        <v>22050.6034</v>
      </c>
      <c r="P28" s="9" t="s">
        <v>1547</v>
      </c>
      <c r="Q28" t="s">
        <v>1759</v>
      </c>
    </row>
    <row r="29" spans="1:17" hidden="1" x14ac:dyDescent="0.3">
      <c r="A29" s="7">
        <v>45860</v>
      </c>
      <c r="B29" s="7">
        <v>45862</v>
      </c>
      <c r="C29" t="s">
        <v>17</v>
      </c>
      <c r="D29" t="s">
        <v>19</v>
      </c>
      <c r="E29" t="s">
        <v>1353</v>
      </c>
      <c r="F29">
        <v>428462692</v>
      </c>
      <c r="G29">
        <v>802943569</v>
      </c>
      <c r="H29">
        <v>38856</v>
      </c>
      <c r="I29">
        <v>38679</v>
      </c>
      <c r="J29">
        <f>Table13456789101112132345678[[#This Row],[LOADED LITRES]]-Table13456789101112132345678[[#This Row],[Offloading Litres]]</f>
        <v>177</v>
      </c>
      <c r="K29" t="s">
        <v>32</v>
      </c>
      <c r="L29" s="17" t="s">
        <v>1546</v>
      </c>
      <c r="M29" t="s">
        <v>1641</v>
      </c>
      <c r="N29">
        <v>0.56769999999999998</v>
      </c>
      <c r="O29" s="8">
        <f>Table13456789101112132345678[[#This Row],[LOADED LITRES]]*Table13456789101112132345678[[#This Row],[Rate]]</f>
        <v>22058.551199999998</v>
      </c>
      <c r="P29" s="9" t="s">
        <v>1548</v>
      </c>
      <c r="Q29" t="s">
        <v>1760</v>
      </c>
    </row>
    <row r="30" spans="1:17" x14ac:dyDescent="0.3">
      <c r="A30" s="7">
        <v>45862</v>
      </c>
      <c r="B30" s="7">
        <v>45863</v>
      </c>
      <c r="C30" t="s">
        <v>23</v>
      </c>
      <c r="D30" t="s">
        <v>97</v>
      </c>
      <c r="E30" t="s">
        <v>1353</v>
      </c>
      <c r="F30">
        <v>428528210</v>
      </c>
      <c r="G30">
        <v>802952164</v>
      </c>
      <c r="H30">
        <v>38830</v>
      </c>
      <c r="I30">
        <v>38647</v>
      </c>
      <c r="J30">
        <f>Table13456789101112132345678[[#This Row],[LOADED LITRES]]-Table13456789101112132345678[[#This Row],[Offloading Litres]]</f>
        <v>183</v>
      </c>
      <c r="K30" t="s">
        <v>32</v>
      </c>
      <c r="L30" s="17" t="s">
        <v>1579</v>
      </c>
      <c r="M30" t="s">
        <v>1642</v>
      </c>
      <c r="N30">
        <v>0.56769999999999998</v>
      </c>
      <c r="O30" s="8">
        <f>Table13456789101112132345678[[#This Row],[LOADED LITRES]]*Table13456789101112132345678[[#This Row],[Rate]]</f>
        <v>22043.791000000001</v>
      </c>
      <c r="P30" s="9" t="s">
        <v>1549</v>
      </c>
      <c r="Q30" t="s">
        <v>1761</v>
      </c>
    </row>
    <row r="31" spans="1:17" hidden="1" x14ac:dyDescent="0.3">
      <c r="A31" s="7">
        <v>45862</v>
      </c>
      <c r="B31" s="7"/>
      <c r="C31" t="s">
        <v>1588</v>
      </c>
      <c r="D31" t="s">
        <v>1591</v>
      </c>
      <c r="E31" t="s">
        <v>1399</v>
      </c>
      <c r="F31">
        <v>428528224</v>
      </c>
      <c r="H31">
        <v>39846</v>
      </c>
      <c r="J31">
        <f>Table13456789101112132345678[[#This Row],[LOADED LITRES]]-Table13456789101112132345678[[#This Row],[Offloading Litres]]</f>
        <v>39846</v>
      </c>
      <c r="L31" s="17" t="s">
        <v>1608</v>
      </c>
      <c r="M31" t="s">
        <v>1643</v>
      </c>
      <c r="N31">
        <v>0.56769999999999998</v>
      </c>
      <c r="O31" s="8">
        <f>Table13456789101112132345678[[#This Row],[LOADED LITRES]]*Table13456789101112132345678[[#This Row],[Rate]]</f>
        <v>22620.574199999999</v>
      </c>
      <c r="P31" s="9" t="s">
        <v>1592</v>
      </c>
      <c r="Q31" t="s">
        <v>1762</v>
      </c>
    </row>
    <row r="32" spans="1:17" hidden="1" x14ac:dyDescent="0.3">
      <c r="A32" s="7">
        <v>45863</v>
      </c>
      <c r="B32" s="7">
        <v>45864</v>
      </c>
      <c r="C32" t="s">
        <v>17</v>
      </c>
      <c r="D32" t="s">
        <v>19</v>
      </c>
      <c r="E32" t="s">
        <v>1389</v>
      </c>
      <c r="F32">
        <v>428555402</v>
      </c>
      <c r="G32">
        <v>802957699</v>
      </c>
      <c r="H32">
        <v>40814</v>
      </c>
      <c r="I32">
        <v>40566</v>
      </c>
      <c r="J32">
        <f>Table13456789101112132345678[[#This Row],[LOADED LITRES]]-Table13456789101112132345678[[#This Row],[Offloading Litres]]</f>
        <v>248</v>
      </c>
      <c r="K32" t="s">
        <v>236</v>
      </c>
      <c r="L32" s="17" t="s">
        <v>1580</v>
      </c>
      <c r="M32" t="s">
        <v>1644</v>
      </c>
      <c r="N32">
        <v>0.62119999999999997</v>
      </c>
      <c r="O32" s="8">
        <f>Table13456789101112132345678[[#This Row],[LOADED LITRES]]*Table13456789101112132345678[[#This Row],[Rate]]</f>
        <v>25353.656800000001</v>
      </c>
      <c r="P32" s="9" t="s">
        <v>1616</v>
      </c>
      <c r="Q32" t="s">
        <v>1763</v>
      </c>
    </row>
    <row r="33" spans="1:17" x14ac:dyDescent="0.3">
      <c r="A33" s="7">
        <v>45864</v>
      </c>
      <c r="B33" s="7">
        <v>45866</v>
      </c>
      <c r="C33" t="s">
        <v>23</v>
      </c>
      <c r="D33" t="s">
        <v>287</v>
      </c>
      <c r="E33" t="s">
        <v>1553</v>
      </c>
      <c r="F33">
        <v>428577072</v>
      </c>
      <c r="G33">
        <v>802961800</v>
      </c>
      <c r="H33">
        <v>38863</v>
      </c>
      <c r="I33">
        <v>38496</v>
      </c>
      <c r="J33">
        <f>Table13456789101112132345678[[#This Row],[LOADED LITRES]]-Table13456789101112132345678[[#This Row],[Offloading Litres]]</f>
        <v>367</v>
      </c>
      <c r="K33" t="s">
        <v>32</v>
      </c>
      <c r="L33" s="17" t="s">
        <v>1581</v>
      </c>
      <c r="M33" t="s">
        <v>1645</v>
      </c>
      <c r="N33">
        <v>0.8</v>
      </c>
      <c r="O33" s="8">
        <f>Table13456789101112132345678[[#This Row],[LOADED LITRES]]*Table13456789101112132345678[[#This Row],[Rate]]</f>
        <v>31090.400000000001</v>
      </c>
      <c r="P33" s="9" t="s">
        <v>1555</v>
      </c>
      <c r="Q33" t="s">
        <v>1767</v>
      </c>
    </row>
    <row r="34" spans="1:17" hidden="1" x14ac:dyDescent="0.3">
      <c r="A34" s="7">
        <v>45865</v>
      </c>
      <c r="B34" s="7">
        <v>45866</v>
      </c>
      <c r="C34" t="s">
        <v>1596</v>
      </c>
      <c r="D34" t="s">
        <v>1597</v>
      </c>
      <c r="E34" t="s">
        <v>1598</v>
      </c>
      <c r="F34">
        <v>428587609</v>
      </c>
      <c r="G34">
        <v>802962780</v>
      </c>
      <c r="H34">
        <v>39081</v>
      </c>
      <c r="J34">
        <f>Table13456789101112132345678[[#This Row],[LOADED LITRES]]-Table13456789101112132345678[[#This Row],[Offloading Litres]]</f>
        <v>39081</v>
      </c>
      <c r="K34" t="s">
        <v>32</v>
      </c>
      <c r="L34" s="18" t="s">
        <v>1609</v>
      </c>
      <c r="M34" t="s">
        <v>1646</v>
      </c>
      <c r="N34">
        <v>0.69399999999999995</v>
      </c>
      <c r="O34" s="8">
        <f>Table13456789101112132345678[[#This Row],[LOADED LITRES]]*Table13456789101112132345678[[#This Row],[Rate]]</f>
        <v>27122.213999999996</v>
      </c>
      <c r="P34" s="9" t="s">
        <v>1599</v>
      </c>
    </row>
    <row r="35" spans="1:17" hidden="1" x14ac:dyDescent="0.3">
      <c r="A35" s="7">
        <v>45865</v>
      </c>
      <c r="B35" s="7">
        <v>45866</v>
      </c>
      <c r="C35" t="s">
        <v>28</v>
      </c>
      <c r="D35" t="s">
        <v>33</v>
      </c>
      <c r="E35" t="s">
        <v>1553</v>
      </c>
      <c r="F35">
        <v>428578385</v>
      </c>
      <c r="G35">
        <v>802961956</v>
      </c>
      <c r="H35">
        <v>39673</v>
      </c>
      <c r="I35">
        <v>39402</v>
      </c>
      <c r="J35">
        <f>Table13456789101112132345678[[#This Row],[LOADED LITRES]]-Table13456789101112132345678[[#This Row],[Offloading Litres]]</f>
        <v>271</v>
      </c>
      <c r="K35" t="s">
        <v>32</v>
      </c>
      <c r="L35" s="17" t="s">
        <v>1582</v>
      </c>
      <c r="M35" t="s">
        <v>1647</v>
      </c>
      <c r="N35">
        <v>0.8</v>
      </c>
      <c r="O35" s="8">
        <f>Table13456789101112132345678[[#This Row],[LOADED LITRES]]*Table13456789101112132345678[[#This Row],[Rate]]</f>
        <v>31738.400000000001</v>
      </c>
      <c r="P35" s="9" t="s">
        <v>1556</v>
      </c>
      <c r="Q35" t="s">
        <v>1768</v>
      </c>
    </row>
    <row r="36" spans="1:17" hidden="1" x14ac:dyDescent="0.3">
      <c r="A36" s="7">
        <v>45865</v>
      </c>
      <c r="B36" s="7">
        <v>45866</v>
      </c>
      <c r="C36" t="s">
        <v>29</v>
      </c>
      <c r="D36" t="s">
        <v>24</v>
      </c>
      <c r="E36" t="s">
        <v>1553</v>
      </c>
      <c r="F36">
        <v>428578390</v>
      </c>
      <c r="G36">
        <v>802962141</v>
      </c>
      <c r="H36">
        <v>39732</v>
      </c>
      <c r="I36">
        <v>39463</v>
      </c>
      <c r="J36">
        <f>Table13456789101112132345678[[#This Row],[LOADED LITRES]]-Table13456789101112132345678[[#This Row],[Offloading Litres]]</f>
        <v>269</v>
      </c>
      <c r="K36" t="s">
        <v>32</v>
      </c>
      <c r="L36" s="17" t="s">
        <v>1583</v>
      </c>
      <c r="M36" t="s">
        <v>1648</v>
      </c>
      <c r="N36">
        <v>0.8</v>
      </c>
      <c r="O36" s="8">
        <f>Table13456789101112132345678[[#This Row],[LOADED LITRES]]*Table13456789101112132345678[[#This Row],[Rate]]</f>
        <v>31785.600000000002</v>
      </c>
      <c r="P36" s="9" t="s">
        <v>1554</v>
      </c>
      <c r="Q36" t="s">
        <v>1769</v>
      </c>
    </row>
    <row r="37" spans="1:17" hidden="1" x14ac:dyDescent="0.3">
      <c r="A37" s="7">
        <v>45865</v>
      </c>
      <c r="B37" s="7">
        <v>45866</v>
      </c>
      <c r="C37" t="s">
        <v>103</v>
      </c>
      <c r="D37" t="s">
        <v>26</v>
      </c>
      <c r="E37" t="s">
        <v>1353</v>
      </c>
      <c r="F37">
        <v>428578401</v>
      </c>
      <c r="G37">
        <v>802962350</v>
      </c>
      <c r="H37">
        <v>39868</v>
      </c>
      <c r="I37">
        <v>39747</v>
      </c>
      <c r="J37">
        <f>Table13456789101112132345678[[#This Row],[LOADED LITRES]]-Table13456789101112132345678[[#This Row],[Offloading Litres]]</f>
        <v>121</v>
      </c>
      <c r="K37" t="s">
        <v>32</v>
      </c>
      <c r="L37" s="17" t="s">
        <v>1584</v>
      </c>
      <c r="M37" t="s">
        <v>1649</v>
      </c>
      <c r="N37">
        <v>0.56769999999999998</v>
      </c>
      <c r="O37" s="8">
        <f>Table13456789101112132345678[[#This Row],[LOADED LITRES]]*Table13456789101112132345678[[#This Row],[Rate]]</f>
        <v>22633.063599999998</v>
      </c>
      <c r="P37" s="9" t="s">
        <v>1552</v>
      </c>
      <c r="Q37" t="s">
        <v>1764</v>
      </c>
    </row>
    <row r="38" spans="1:17" hidden="1" x14ac:dyDescent="0.3">
      <c r="A38" s="7">
        <v>45865</v>
      </c>
      <c r="B38" s="7">
        <v>45866</v>
      </c>
      <c r="C38" t="s">
        <v>22</v>
      </c>
      <c r="D38" t="s">
        <v>286</v>
      </c>
      <c r="E38" t="s">
        <v>1585</v>
      </c>
      <c r="F38" t="s">
        <v>1550</v>
      </c>
      <c r="G38">
        <v>802962476</v>
      </c>
      <c r="H38">
        <v>39673</v>
      </c>
      <c r="I38">
        <v>39368</v>
      </c>
      <c r="J38">
        <f>Table13456789101112132345678[[#This Row],[LOADED LITRES]]-Table13456789101112132345678[[#This Row],[Offloading Litres]]</f>
        <v>305</v>
      </c>
      <c r="K38" t="s">
        <v>32</v>
      </c>
      <c r="L38" s="17" t="s">
        <v>1586</v>
      </c>
      <c r="M38" t="s">
        <v>1650</v>
      </c>
      <c r="N38">
        <v>0.72289999999999999</v>
      </c>
      <c r="O38" s="8">
        <f>Table13456789101112132345678[[#This Row],[LOADED LITRES]]*Table13456789101112132345678[[#This Row],[Rate]]</f>
        <v>28679.611700000001</v>
      </c>
      <c r="P38" s="9" t="s">
        <v>1558</v>
      </c>
      <c r="Q38" t="s">
        <v>1765</v>
      </c>
    </row>
    <row r="39" spans="1:17" hidden="1" x14ac:dyDescent="0.3">
      <c r="A39" s="7">
        <v>45865</v>
      </c>
      <c r="B39" s="7">
        <v>45866</v>
      </c>
      <c r="C39" t="s">
        <v>17</v>
      </c>
      <c r="D39" t="s">
        <v>19</v>
      </c>
      <c r="E39" t="s">
        <v>243</v>
      </c>
      <c r="F39" t="s">
        <v>1551</v>
      </c>
      <c r="G39">
        <v>802962753</v>
      </c>
      <c r="H39">
        <v>41793</v>
      </c>
      <c r="I39">
        <v>41697</v>
      </c>
      <c r="J39">
        <f>Table13456789101112132345678[[#This Row],[LOADED LITRES]]-Table13456789101112132345678[[#This Row],[Offloading Litres]]</f>
        <v>96</v>
      </c>
      <c r="K39" t="s">
        <v>236</v>
      </c>
      <c r="L39" s="17" t="s">
        <v>1587</v>
      </c>
      <c r="M39" t="s">
        <v>1651</v>
      </c>
      <c r="N39">
        <v>0.50409999999999999</v>
      </c>
      <c r="O39" s="8">
        <f>Table13456789101112132345678[[#This Row],[LOADED LITRES]]*Table13456789101112132345678[[#This Row],[Rate]]</f>
        <v>21067.851299999998</v>
      </c>
      <c r="P39" s="9" t="s">
        <v>1557</v>
      </c>
      <c r="Q39" t="s">
        <v>1770</v>
      </c>
    </row>
    <row r="40" spans="1:17" hidden="1" x14ac:dyDescent="0.3">
      <c r="A40" s="7">
        <v>45865</v>
      </c>
      <c r="B40" s="7"/>
      <c r="C40" t="s">
        <v>1588</v>
      </c>
      <c r="D40" t="s">
        <v>1589</v>
      </c>
      <c r="E40" t="s">
        <v>1399</v>
      </c>
      <c r="F40">
        <v>428578398</v>
      </c>
      <c r="G40">
        <v>802962172</v>
      </c>
      <c r="H40">
        <v>39835</v>
      </c>
      <c r="I40">
        <v>39517</v>
      </c>
      <c r="J40">
        <f>Table13456789101112132345678[[#This Row],[LOADED LITRES]]-Table13456789101112132345678[[#This Row],[Offloading Litres]]</f>
        <v>318</v>
      </c>
      <c r="K40" t="s">
        <v>32</v>
      </c>
      <c r="L40" s="17" t="s">
        <v>1610</v>
      </c>
      <c r="M40" t="s">
        <v>1652</v>
      </c>
      <c r="N40">
        <v>0.56769999999999998</v>
      </c>
      <c r="O40" s="8">
        <f>Table13456789101112132345678[[#This Row],[LOADED LITRES]]*Table13456789101112132345678[[#This Row],[Rate]]</f>
        <v>22614.3295</v>
      </c>
      <c r="P40" s="9" t="s">
        <v>1590</v>
      </c>
      <c r="Q40" t="s">
        <v>1766</v>
      </c>
    </row>
    <row r="41" spans="1:17" x14ac:dyDescent="0.3">
      <c r="A41" s="7">
        <v>45868</v>
      </c>
      <c r="B41" s="7">
        <v>45869</v>
      </c>
      <c r="C41" t="s">
        <v>23</v>
      </c>
      <c r="D41" t="s">
        <v>26</v>
      </c>
      <c r="E41" t="s">
        <v>1537</v>
      </c>
      <c r="F41">
        <v>428667586</v>
      </c>
      <c r="G41">
        <v>802975040</v>
      </c>
      <c r="H41">
        <v>38888</v>
      </c>
      <c r="I41">
        <v>38688</v>
      </c>
      <c r="J41">
        <f>Table13456789101112132345678[[#This Row],[LOADED LITRES]]-Table13456789101112132345678[[#This Row],[Offloading Litres]]</f>
        <v>200</v>
      </c>
      <c r="K41" t="s">
        <v>32</v>
      </c>
      <c r="L41" s="17" t="s">
        <v>1611</v>
      </c>
      <c r="M41" t="s">
        <v>1653</v>
      </c>
      <c r="N41">
        <v>0.77729999999999999</v>
      </c>
      <c r="O41" s="8">
        <f>Table13456789101112132345678[[#This Row],[LOADED LITRES]]*Table13456789101112132345678[[#This Row],[Rate]]</f>
        <v>30227.642400000001</v>
      </c>
      <c r="P41" s="9" t="s">
        <v>1560</v>
      </c>
      <c r="Q41" t="s">
        <v>1771</v>
      </c>
    </row>
    <row r="42" spans="1:17" hidden="1" x14ac:dyDescent="0.3">
      <c r="A42" s="7">
        <v>45869</v>
      </c>
      <c r="B42" s="7"/>
      <c r="C42" t="s">
        <v>1603</v>
      </c>
      <c r="D42" t="s">
        <v>1678</v>
      </c>
      <c r="E42" t="s">
        <v>1604</v>
      </c>
      <c r="F42">
        <v>428446539</v>
      </c>
      <c r="G42">
        <v>802981938</v>
      </c>
      <c r="H42">
        <v>39074</v>
      </c>
      <c r="J42">
        <f>Table13456789101112132345678[[#This Row],[LOADED LITRES]]-Table13456789101112132345678[[#This Row],[Offloading Litres]]</f>
        <v>39074</v>
      </c>
      <c r="K42" t="s">
        <v>1605</v>
      </c>
      <c r="L42">
        <v>428446539</v>
      </c>
      <c r="M42" t="s">
        <v>1662</v>
      </c>
      <c r="N42">
        <v>0.77</v>
      </c>
      <c r="O42" s="8">
        <f>Table13456789101112132345678[[#This Row],[LOADED LITRES]]*Table13456789101112132345678[[#This Row],[Rate]]</f>
        <v>30086.98</v>
      </c>
      <c r="P42" s="9"/>
    </row>
    <row r="43" spans="1:17" hidden="1" x14ac:dyDescent="0.3">
      <c r="A43" s="7">
        <v>45869</v>
      </c>
      <c r="B43" s="7">
        <v>45870</v>
      </c>
      <c r="C43" t="s">
        <v>29</v>
      </c>
      <c r="D43" t="s">
        <v>24</v>
      </c>
      <c r="E43" t="s">
        <v>1559</v>
      </c>
      <c r="F43">
        <v>428755355</v>
      </c>
      <c r="G43">
        <v>802980280</v>
      </c>
      <c r="H43">
        <v>39712</v>
      </c>
      <c r="I43">
        <v>39621</v>
      </c>
      <c r="J43">
        <f>Table13456789101112132345678[[#This Row],[LOADED LITRES]]-Table13456789101112132345678[[#This Row],[Offloading Litres]]</f>
        <v>91</v>
      </c>
      <c r="K43" t="s">
        <v>32</v>
      </c>
      <c r="L43">
        <v>428755355</v>
      </c>
      <c r="M43" t="s">
        <v>1663</v>
      </c>
      <c r="N43">
        <v>1.3</v>
      </c>
      <c r="O43" s="8">
        <f>Table13456789101112132345678[[#This Row],[LOADED LITRES]]*Table13456789101112132345678[[#This Row],[Rate]]</f>
        <v>51625.599999999999</v>
      </c>
      <c r="P43" s="9" t="s">
        <v>1563</v>
      </c>
      <c r="Q43" t="s">
        <v>1776</v>
      </c>
    </row>
    <row r="44" spans="1:17" hidden="1" x14ac:dyDescent="0.3">
      <c r="A44" s="7">
        <v>45868</v>
      </c>
      <c r="B44" s="7">
        <v>45869</v>
      </c>
      <c r="C44" t="s">
        <v>1600</v>
      </c>
      <c r="D44" t="s">
        <v>1601</v>
      </c>
      <c r="E44" t="s">
        <v>243</v>
      </c>
      <c r="F44">
        <v>428589067</v>
      </c>
      <c r="G44">
        <v>802979266</v>
      </c>
      <c r="H44">
        <v>39858</v>
      </c>
      <c r="J44">
        <f>Table13456789101112132345678[[#This Row],[LOADED LITRES]]-Table13456789101112132345678[[#This Row],[Offloading Litres]]</f>
        <v>39858</v>
      </c>
      <c r="K44" t="s">
        <v>32</v>
      </c>
      <c r="L44" s="17" t="s">
        <v>1612</v>
      </c>
      <c r="M44" t="s">
        <v>1654</v>
      </c>
      <c r="N44">
        <v>0.50409999999999999</v>
      </c>
      <c r="O44" s="8">
        <f>Table13456789101112132345678[[#This Row],[LOADED LITRES]]*Table13456789101112132345678[[#This Row],[Rate]]</f>
        <v>20092.417799999999</v>
      </c>
      <c r="P44" s="9" t="s">
        <v>1602</v>
      </c>
    </row>
    <row r="45" spans="1:17" hidden="1" x14ac:dyDescent="0.3">
      <c r="A45" s="7">
        <v>45868</v>
      </c>
      <c r="B45" s="7">
        <v>45869</v>
      </c>
      <c r="C45" t="s">
        <v>1593</v>
      </c>
      <c r="D45" t="s">
        <v>1594</v>
      </c>
      <c r="E45" t="s">
        <v>1399</v>
      </c>
      <c r="F45">
        <v>428578427</v>
      </c>
      <c r="G45">
        <v>802979596</v>
      </c>
      <c r="H45">
        <v>38876</v>
      </c>
      <c r="J45">
        <f>Table13456789101112132345678[[#This Row],[LOADED LITRES]]-Table13456789101112132345678[[#This Row],[Offloading Litres]]</f>
        <v>38876</v>
      </c>
      <c r="K45" t="s">
        <v>32</v>
      </c>
      <c r="L45" s="17" t="s">
        <v>1613</v>
      </c>
      <c r="M45" t="s">
        <v>1655</v>
      </c>
      <c r="N45">
        <v>0.56769999999999998</v>
      </c>
      <c r="O45" s="8">
        <f>Table13456789101112132345678[[#This Row],[LOADED LITRES]]*Table13456789101112132345678[[#This Row],[Rate]]</f>
        <v>22069.905200000001</v>
      </c>
      <c r="P45" s="9"/>
      <c r="Q45" t="s">
        <v>1773</v>
      </c>
    </row>
    <row r="46" spans="1:17" hidden="1" x14ac:dyDescent="0.3">
      <c r="A46" s="7">
        <v>45868</v>
      </c>
      <c r="C46" t="s">
        <v>17</v>
      </c>
      <c r="D46" t="s">
        <v>19</v>
      </c>
      <c r="E46" t="s">
        <v>1353</v>
      </c>
      <c r="F46">
        <v>428588414</v>
      </c>
      <c r="G46">
        <v>802979776</v>
      </c>
      <c r="H46">
        <v>38881</v>
      </c>
      <c r="I46">
        <v>38855</v>
      </c>
      <c r="J46">
        <f>Table13456789101112132345678[[#This Row],[LOADED LITRES]]-Table13456789101112132345678[[#This Row],[Offloading Litres]]</f>
        <v>26</v>
      </c>
      <c r="K46" t="s">
        <v>32</v>
      </c>
      <c r="L46" s="17" t="s">
        <v>1614</v>
      </c>
      <c r="M46" t="s">
        <v>1656</v>
      </c>
      <c r="N46">
        <v>0.56769999999999998</v>
      </c>
      <c r="O46" s="8">
        <f>Table13456789101112132345678[[#This Row],[LOADED LITRES]]*Table13456789101112132345678[[#This Row],[Rate]]</f>
        <v>22072.743699999999</v>
      </c>
      <c r="P46" s="9" t="s">
        <v>1561</v>
      </c>
      <c r="Q46" t="s">
        <v>1772</v>
      </c>
    </row>
    <row r="47" spans="1:17" hidden="1" x14ac:dyDescent="0.3">
      <c r="A47" s="7">
        <v>45869</v>
      </c>
      <c r="B47" s="7">
        <v>45870</v>
      </c>
      <c r="C47" t="s">
        <v>22</v>
      </c>
      <c r="D47" t="s">
        <v>286</v>
      </c>
      <c r="E47" t="s">
        <v>1562</v>
      </c>
      <c r="F47">
        <v>428446611</v>
      </c>
      <c r="G47">
        <v>802984279</v>
      </c>
      <c r="H47">
        <v>39818</v>
      </c>
      <c r="I47">
        <v>39718</v>
      </c>
      <c r="J47">
        <f>Table13456789101112132345678[[#This Row],[LOADED LITRES]]-Table13456789101112132345678[[#This Row],[Offloading Litres]]</f>
        <v>100</v>
      </c>
      <c r="K47" t="s">
        <v>958</v>
      </c>
      <c r="L47">
        <v>428446611</v>
      </c>
      <c r="M47" t="s">
        <v>1664</v>
      </c>
      <c r="N47">
        <v>0.78</v>
      </c>
      <c r="O47" s="8">
        <f>Table13456789101112132345678[[#This Row],[LOADED LITRES]]*Table13456789101112132345678[[#This Row],[Rate]]</f>
        <v>31058.04</v>
      </c>
      <c r="P47" s="9" t="s">
        <v>1733</v>
      </c>
      <c r="Q47" t="s">
        <v>1775</v>
      </c>
    </row>
    <row r="48" spans="1:17" hidden="1" x14ac:dyDescent="0.3">
      <c r="A48" s="7">
        <v>45869</v>
      </c>
      <c r="B48" s="7">
        <v>45870</v>
      </c>
      <c r="C48" t="s">
        <v>21</v>
      </c>
      <c r="D48" t="s">
        <v>27</v>
      </c>
      <c r="E48" t="s">
        <v>1562</v>
      </c>
      <c r="F48">
        <v>428446557</v>
      </c>
      <c r="G48">
        <v>802984430</v>
      </c>
      <c r="H48">
        <v>39331</v>
      </c>
      <c r="I48">
        <v>39284</v>
      </c>
      <c r="J48">
        <f>Table13456789101112132345678[[#This Row],[LOADED LITRES]]-Table13456789101112132345678[[#This Row],[Offloading Litres]]</f>
        <v>47</v>
      </c>
      <c r="K48" t="s">
        <v>958</v>
      </c>
      <c r="L48">
        <v>428446557</v>
      </c>
      <c r="M48" t="s">
        <v>1665</v>
      </c>
      <c r="N48">
        <v>0.77</v>
      </c>
      <c r="O48" s="8">
        <f>Table13456789101112132345678[[#This Row],[LOADED LITRES]]*Table13456789101112132345678[[#This Row],[Rate]]</f>
        <v>30284.87</v>
      </c>
      <c r="P48" s="9" t="s">
        <v>1734</v>
      </c>
      <c r="Q48" t="s">
        <v>1774</v>
      </c>
    </row>
  </sheetData>
  <phoneticPr fontId="2" type="noConversion"/>
  <conditionalFormatting sqref="F1:G1">
    <cfRule type="duplicateValues" dxfId="15" priority="1"/>
  </conditionalFormatting>
  <conditionalFormatting sqref="G1">
    <cfRule type="duplicateValues" dxfId="14" priority="2"/>
  </conditionalFormatting>
  <conditionalFormatting sqref="L1">
    <cfRule type="duplicateValues" dxfId="13" priority="3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AB3-E927-4A01-9681-29CDE84D7793}">
  <dimension ref="A1:T96"/>
  <sheetViews>
    <sheetView workbookViewId="0">
      <selection activeCell="D102" sqref="D102"/>
    </sheetView>
  </sheetViews>
  <sheetFormatPr defaultRowHeight="14.4" x14ac:dyDescent="0.3"/>
  <cols>
    <col min="1" max="2" width="13.33203125" customWidth="1"/>
    <col min="3" max="3" width="9.88671875" customWidth="1"/>
    <col min="4" max="4" width="20.33203125" customWidth="1"/>
    <col min="5" max="5" width="22.88671875" customWidth="1"/>
    <col min="6" max="9" width="13.33203125" customWidth="1"/>
    <col min="10" max="10" width="9" customWidth="1"/>
    <col min="11" max="11" width="9.21875" customWidth="1"/>
    <col min="12" max="12" width="11.44140625" customWidth="1"/>
    <col min="13" max="13" width="13.5546875" customWidth="1"/>
    <col min="14" max="14" width="9.44140625" customWidth="1"/>
    <col min="15" max="15" width="10.109375" style="8" customWidth="1"/>
    <col min="16" max="16" width="14.6640625" customWidth="1"/>
    <col min="17" max="17" width="10.6640625" customWidth="1"/>
    <col min="18" max="18" width="14.6640625" customWidth="1"/>
    <col min="19" max="19" width="9.33203125" customWidth="1"/>
  </cols>
  <sheetData>
    <row r="1" spans="1:20" ht="15.6" thickBot="1" x14ac:dyDescent="0.35">
      <c r="A1" s="1" t="s">
        <v>0</v>
      </c>
      <c r="B1" s="1" t="s">
        <v>1</v>
      </c>
      <c r="C1" s="2" t="s">
        <v>38</v>
      </c>
      <c r="D1" s="2" t="s">
        <v>2</v>
      </c>
      <c r="E1" s="2" t="s">
        <v>3</v>
      </c>
      <c r="F1" s="2" t="s">
        <v>37</v>
      </c>
      <c r="G1" s="2" t="s">
        <v>4</v>
      </c>
      <c r="H1" s="2" t="s">
        <v>36</v>
      </c>
      <c r="I1" s="2" t="s">
        <v>5</v>
      </c>
      <c r="J1" s="2" t="s">
        <v>6</v>
      </c>
      <c r="K1" s="2" t="s">
        <v>7</v>
      </c>
      <c r="L1" s="3" t="s">
        <v>8</v>
      </c>
      <c r="M1" s="2" t="s">
        <v>9</v>
      </c>
      <c r="N1" s="2" t="s">
        <v>10</v>
      </c>
      <c r="O1" s="4" t="s">
        <v>11</v>
      </c>
      <c r="P1" s="5" t="s">
        <v>12</v>
      </c>
      <c r="Q1" s="5" t="s">
        <v>18</v>
      </c>
      <c r="R1" s="2" t="s">
        <v>13</v>
      </c>
      <c r="S1" s="6" t="s">
        <v>20</v>
      </c>
      <c r="T1" s="6" t="s">
        <v>14</v>
      </c>
    </row>
    <row r="2" spans="1:20" ht="15" hidden="1" thickTop="1" x14ac:dyDescent="0.3">
      <c r="A2" s="7">
        <v>45870</v>
      </c>
      <c r="B2" s="7">
        <v>45871</v>
      </c>
      <c r="C2" t="s">
        <v>1666</v>
      </c>
      <c r="D2" t="s">
        <v>1667</v>
      </c>
      <c r="E2" t="s">
        <v>1668</v>
      </c>
      <c r="F2">
        <v>428755369</v>
      </c>
      <c r="G2">
        <v>802987184</v>
      </c>
      <c r="H2">
        <v>39896</v>
      </c>
      <c r="I2">
        <v>39714</v>
      </c>
      <c r="J2">
        <f>Table134567891011121323456789[[#This Row],[LOADED LITRES]]-Table134567891011121323456789[[#This Row],[Offloading Litres]]</f>
        <v>182</v>
      </c>
      <c r="K2" t="s">
        <v>32</v>
      </c>
      <c r="L2">
        <v>428755369</v>
      </c>
      <c r="M2" t="s">
        <v>1669</v>
      </c>
      <c r="N2">
        <v>0.97</v>
      </c>
      <c r="O2" s="8">
        <f>Table134567891011121323456789[[#This Row],[Offloading Litres]]*Table134567891011121323456789[[#This Row],[Rate]]</f>
        <v>38522.58</v>
      </c>
      <c r="P2" s="9" t="s">
        <v>1670</v>
      </c>
    </row>
    <row r="3" spans="1:20" ht="15" hidden="1" thickTop="1" x14ac:dyDescent="0.3">
      <c r="A3" s="7">
        <v>45870</v>
      </c>
      <c r="B3" s="7">
        <v>45872</v>
      </c>
      <c r="C3" t="s">
        <v>1596</v>
      </c>
      <c r="D3" t="s">
        <v>1597</v>
      </c>
      <c r="E3" t="s">
        <v>1671</v>
      </c>
      <c r="F3">
        <v>428769129</v>
      </c>
      <c r="G3">
        <v>802989792</v>
      </c>
      <c r="H3">
        <v>39166</v>
      </c>
      <c r="I3">
        <v>39063</v>
      </c>
      <c r="J3">
        <f>Table134567891011121323456789[[#This Row],[LOADED LITRES]]-Table134567891011121323456789[[#This Row],[Offloading Litres]]</f>
        <v>103</v>
      </c>
      <c r="K3" t="s">
        <v>32</v>
      </c>
      <c r="L3">
        <v>428769129</v>
      </c>
      <c r="M3" t="s">
        <v>1676</v>
      </c>
      <c r="N3">
        <v>0.8</v>
      </c>
      <c r="O3" s="8">
        <f>Table134567891011121323456789[[#This Row],[Offloading Litres]]*Table134567891011121323456789[[#This Row],[Rate]]</f>
        <v>31250.400000000001</v>
      </c>
      <c r="P3" s="9" t="s">
        <v>1672</v>
      </c>
    </row>
    <row r="4" spans="1:20" ht="15" hidden="1" thickTop="1" x14ac:dyDescent="0.3">
      <c r="A4" s="7">
        <v>45870</v>
      </c>
      <c r="B4" s="7">
        <v>45872</v>
      </c>
      <c r="C4" t="s">
        <v>23</v>
      </c>
      <c r="D4" t="s">
        <v>26</v>
      </c>
      <c r="E4" t="s">
        <v>1671</v>
      </c>
      <c r="F4">
        <v>428774269</v>
      </c>
      <c r="G4">
        <v>802990298</v>
      </c>
      <c r="H4">
        <v>38877</v>
      </c>
      <c r="I4">
        <v>38695</v>
      </c>
      <c r="J4">
        <f>Table134567891011121323456789[[#This Row],[LOADED LITRES]]-Table134567891011121323456789[[#This Row],[Offloading Litres]]</f>
        <v>182</v>
      </c>
      <c r="K4" t="s">
        <v>32</v>
      </c>
      <c r="L4">
        <v>428774269</v>
      </c>
      <c r="M4" t="s">
        <v>1675</v>
      </c>
      <c r="N4">
        <v>0.8</v>
      </c>
      <c r="O4" s="8">
        <f>Table134567891011121323456789[[#This Row],[Offloading Litres]]*Table134567891011121323456789[[#This Row],[Rate]]</f>
        <v>30956</v>
      </c>
      <c r="P4" s="9" t="s">
        <v>1673</v>
      </c>
      <c r="Q4" t="s">
        <v>1937</v>
      </c>
    </row>
    <row r="5" spans="1:20" ht="15" hidden="1" thickTop="1" x14ac:dyDescent="0.3">
      <c r="A5" s="7">
        <v>45870</v>
      </c>
      <c r="B5" s="7">
        <v>45872</v>
      </c>
      <c r="C5" t="s">
        <v>28</v>
      </c>
      <c r="D5" t="s">
        <v>349</v>
      </c>
      <c r="E5" t="s">
        <v>1604</v>
      </c>
      <c r="F5">
        <v>428446628</v>
      </c>
      <c r="G5">
        <v>802991385</v>
      </c>
      <c r="H5">
        <v>39746</v>
      </c>
      <c r="I5">
        <v>39539</v>
      </c>
      <c r="J5">
        <f>Table134567891011121323456789[[#This Row],[LOADED LITRES]]-Table134567891011121323456789[[#This Row],[Offloading Litres]]</f>
        <v>207</v>
      </c>
      <c r="K5" t="s">
        <v>32</v>
      </c>
      <c r="L5">
        <v>428446628</v>
      </c>
      <c r="M5" t="s">
        <v>1677</v>
      </c>
      <c r="N5">
        <v>0.77</v>
      </c>
      <c r="O5" s="8">
        <f>Table134567891011121323456789[[#This Row],[Offloading Litres]]*Table134567891011121323456789[[#This Row],[Rate]]</f>
        <v>30445.030000000002</v>
      </c>
      <c r="P5" s="9" t="s">
        <v>1674</v>
      </c>
      <c r="Q5" t="s">
        <v>1936</v>
      </c>
    </row>
    <row r="6" spans="1:20" ht="15" hidden="1" thickTop="1" x14ac:dyDescent="0.3">
      <c r="A6" s="7">
        <v>45872</v>
      </c>
      <c r="B6" s="7">
        <v>45873</v>
      </c>
      <c r="C6" t="s">
        <v>34</v>
      </c>
      <c r="D6" t="s">
        <v>15</v>
      </c>
      <c r="E6" t="s">
        <v>1389</v>
      </c>
      <c r="F6">
        <v>428931037</v>
      </c>
      <c r="G6">
        <v>802994029</v>
      </c>
      <c r="H6">
        <v>39969</v>
      </c>
      <c r="I6">
        <v>39577</v>
      </c>
      <c r="J6">
        <f>Table134567891011121323456789[[#This Row],[LOADED LITRES]]-Table134567891011121323456789[[#This Row],[Offloading Litres]]</f>
        <v>392</v>
      </c>
      <c r="K6" t="s">
        <v>32</v>
      </c>
      <c r="L6" s="18" t="s">
        <v>1903</v>
      </c>
      <c r="M6" t="s">
        <v>1911</v>
      </c>
      <c r="N6">
        <v>0.62119999999999997</v>
      </c>
      <c r="O6" s="8">
        <f>Table134567891011121323456789[[#This Row],[Offloading Litres]]*Table134567891011121323456789[[#This Row],[Rate]]</f>
        <v>24585.232400000001</v>
      </c>
      <c r="P6" s="9" t="s">
        <v>1732</v>
      </c>
      <c r="Q6" t="s">
        <v>1935</v>
      </c>
    </row>
    <row r="7" spans="1:20" ht="15" hidden="1" thickTop="1" x14ac:dyDescent="0.3">
      <c r="A7" s="7">
        <v>45873</v>
      </c>
      <c r="B7" s="7">
        <v>45874</v>
      </c>
      <c r="C7" t="s">
        <v>29</v>
      </c>
      <c r="D7" t="s">
        <v>24</v>
      </c>
      <c r="E7" t="s">
        <v>617</v>
      </c>
      <c r="F7">
        <v>428927451</v>
      </c>
      <c r="G7">
        <v>802996237</v>
      </c>
      <c r="H7">
        <v>39676</v>
      </c>
      <c r="I7">
        <v>39555</v>
      </c>
      <c r="J7">
        <f>Table134567891011121323456789[[#This Row],[LOADED LITRES]]-Table134567891011121323456789[[#This Row],[Offloading Litres]]</f>
        <v>121</v>
      </c>
      <c r="K7" t="s">
        <v>32</v>
      </c>
      <c r="L7">
        <v>76022993</v>
      </c>
      <c r="M7" t="s">
        <v>1820</v>
      </c>
      <c r="N7">
        <v>0.68669999999999998</v>
      </c>
      <c r="O7" s="8">
        <f>Table134567891011121323456789[[#This Row],[Offloading Litres]]*Table134567891011121323456789[[#This Row],[Rate]]</f>
        <v>27162.4185</v>
      </c>
      <c r="P7" s="9" t="s">
        <v>1679</v>
      </c>
      <c r="Q7" t="s">
        <v>1931</v>
      </c>
    </row>
    <row r="8" spans="1:20" ht="15" hidden="1" thickTop="1" x14ac:dyDescent="0.3">
      <c r="A8" s="7">
        <v>45873</v>
      </c>
      <c r="B8" s="7">
        <v>45874</v>
      </c>
      <c r="C8" t="s">
        <v>23</v>
      </c>
      <c r="D8" t="s">
        <v>286</v>
      </c>
      <c r="E8" t="s">
        <v>617</v>
      </c>
      <c r="F8">
        <v>428927445</v>
      </c>
      <c r="G8">
        <v>802996251</v>
      </c>
      <c r="H8">
        <v>38876</v>
      </c>
      <c r="I8">
        <v>38746</v>
      </c>
      <c r="J8">
        <f>Table134567891011121323456789[[#This Row],[LOADED LITRES]]-Table134567891011121323456789[[#This Row],[Offloading Litres]]</f>
        <v>130</v>
      </c>
      <c r="K8" t="s">
        <v>32</v>
      </c>
      <c r="L8">
        <v>76022996</v>
      </c>
      <c r="M8" t="s">
        <v>1821</v>
      </c>
      <c r="N8">
        <v>0.68669999999999998</v>
      </c>
      <c r="O8" s="8">
        <f>Table134567891011121323456789[[#This Row],[Offloading Litres]]*Table134567891011121323456789[[#This Row],[Rate]]</f>
        <v>26606.878199999999</v>
      </c>
      <c r="P8" s="9" t="s">
        <v>1680</v>
      </c>
      <c r="Q8" t="s">
        <v>1934</v>
      </c>
    </row>
    <row r="9" spans="1:20" ht="15" hidden="1" thickTop="1" x14ac:dyDescent="0.3">
      <c r="A9" s="7">
        <v>45873</v>
      </c>
      <c r="B9" s="7">
        <v>45874</v>
      </c>
      <c r="C9" t="s">
        <v>21</v>
      </c>
      <c r="D9" t="s">
        <v>27</v>
      </c>
      <c r="E9" t="s">
        <v>617</v>
      </c>
      <c r="F9">
        <v>428927450</v>
      </c>
      <c r="G9">
        <v>802996710</v>
      </c>
      <c r="H9">
        <v>39380</v>
      </c>
      <c r="I9">
        <v>39437</v>
      </c>
      <c r="J9">
        <f>Table134567891011121323456789[[#This Row],[LOADED LITRES]]-Table134567891011121323456789[[#This Row],[Offloading Litres]]</f>
        <v>-57</v>
      </c>
      <c r="K9" t="s">
        <v>32</v>
      </c>
      <c r="L9">
        <v>76023468</v>
      </c>
      <c r="M9" t="s">
        <v>1822</v>
      </c>
      <c r="N9">
        <v>0.68669999999999998</v>
      </c>
      <c r="O9" s="8">
        <f>Table134567891011121323456789[[#This Row],[Offloading Litres]]*Table134567891011121323456789[[#This Row],[Rate]]</f>
        <v>27081.387899999998</v>
      </c>
      <c r="P9" s="9" t="s">
        <v>1681</v>
      </c>
      <c r="Q9" t="s">
        <v>1932</v>
      </c>
    </row>
    <row r="10" spans="1:20" ht="15" hidden="1" thickTop="1" x14ac:dyDescent="0.3">
      <c r="A10" s="7">
        <v>45873</v>
      </c>
      <c r="B10" s="7">
        <v>45874</v>
      </c>
      <c r="C10" t="s">
        <v>30</v>
      </c>
      <c r="D10" t="s">
        <v>624</v>
      </c>
      <c r="E10" t="s">
        <v>1722</v>
      </c>
      <c r="F10">
        <v>428808411</v>
      </c>
      <c r="G10">
        <v>802908221</v>
      </c>
      <c r="H10">
        <v>38922</v>
      </c>
      <c r="I10">
        <v>38818</v>
      </c>
      <c r="J10">
        <f>Table134567891011121323456789[[#This Row],[LOADED LITRES]]-Table134567891011121323456789[[#This Row],[Offloading Litres]]</f>
        <v>104</v>
      </c>
      <c r="K10" t="s">
        <v>32</v>
      </c>
      <c r="L10" s="17" t="s">
        <v>1904</v>
      </c>
      <c r="M10" t="s">
        <v>1912</v>
      </c>
      <c r="N10">
        <v>0.69399999999999995</v>
      </c>
      <c r="O10" s="8">
        <f>Table134567891011121323456789[[#This Row],[Offloading Litres]]*Table134567891011121323456789[[#This Row],[Rate]]</f>
        <v>26939.691999999999</v>
      </c>
      <c r="P10" s="9" t="s">
        <v>1731</v>
      </c>
      <c r="Q10" t="s">
        <v>1933</v>
      </c>
    </row>
    <row r="11" spans="1:20" ht="15" hidden="1" thickTop="1" x14ac:dyDescent="0.3">
      <c r="A11" s="7">
        <v>45874</v>
      </c>
      <c r="B11" s="7">
        <v>45875</v>
      </c>
      <c r="C11" t="s">
        <v>103</v>
      </c>
      <c r="D11" t="s">
        <v>1908</v>
      </c>
      <c r="E11" t="s">
        <v>1909</v>
      </c>
      <c r="H11">
        <v>37332</v>
      </c>
      <c r="J11">
        <f>Table134567891011121323456789[[#This Row],[LOADED LITRES]]-Table134567891011121323456789[[#This Row],[Offloading Litres]]</f>
        <v>37332</v>
      </c>
      <c r="K11" t="s">
        <v>32</v>
      </c>
      <c r="L11" s="17" t="s">
        <v>1910</v>
      </c>
      <c r="M11" t="s">
        <v>1913</v>
      </c>
      <c r="N11">
        <v>0.32</v>
      </c>
      <c r="O11" s="8">
        <f>Table134567891011121323456789[[#This Row],[Offloading Litres]]*Table134567891011121323456789[[#This Row],[Rate]]</f>
        <v>0</v>
      </c>
      <c r="P11" s="9" t="s">
        <v>2005</v>
      </c>
    </row>
    <row r="12" spans="1:20" ht="15" hidden="1" thickTop="1" x14ac:dyDescent="0.3">
      <c r="A12" s="7">
        <v>45874</v>
      </c>
      <c r="B12" s="7">
        <v>45875</v>
      </c>
      <c r="C12" t="s">
        <v>28</v>
      </c>
      <c r="D12" t="s">
        <v>349</v>
      </c>
      <c r="E12" t="s">
        <v>617</v>
      </c>
      <c r="F12">
        <v>428927465</v>
      </c>
      <c r="G12">
        <v>803001613</v>
      </c>
      <c r="H12">
        <v>39563</v>
      </c>
      <c r="I12">
        <v>39402</v>
      </c>
      <c r="J12">
        <f>Table134567891011121323456789[[#This Row],[LOADED LITRES]]-Table134567891011121323456789[[#This Row],[Offloading Litres]]</f>
        <v>161</v>
      </c>
      <c r="K12" t="s">
        <v>32</v>
      </c>
      <c r="L12">
        <v>76028820</v>
      </c>
      <c r="M12" t="s">
        <v>1823</v>
      </c>
      <c r="N12">
        <v>0.68669999999999998</v>
      </c>
      <c r="O12" s="8">
        <f>Table134567891011121323456789[[#This Row],[Offloading Litres]]*Table134567891011121323456789[[#This Row],[Rate]]</f>
        <v>27057.3534</v>
      </c>
      <c r="P12" s="9" t="s">
        <v>1684</v>
      </c>
      <c r="Q12" t="s">
        <v>1930</v>
      </c>
    </row>
    <row r="13" spans="1:20" ht="15" hidden="1" thickTop="1" x14ac:dyDescent="0.3">
      <c r="A13" s="7">
        <v>45874</v>
      </c>
      <c r="B13" s="7">
        <v>45875</v>
      </c>
      <c r="C13" t="s">
        <v>22</v>
      </c>
      <c r="D13" t="s">
        <v>26</v>
      </c>
      <c r="E13" t="s">
        <v>617</v>
      </c>
      <c r="F13">
        <v>428927464</v>
      </c>
      <c r="G13">
        <v>803000168</v>
      </c>
      <c r="H13">
        <v>39817</v>
      </c>
      <c r="I13">
        <v>39682</v>
      </c>
      <c r="J13">
        <f>Table134567891011121323456789[[#This Row],[LOADED LITRES]]-Table134567891011121323456789[[#This Row],[Offloading Litres]]</f>
        <v>135</v>
      </c>
      <c r="K13" t="s">
        <v>32</v>
      </c>
      <c r="L13">
        <v>76027229</v>
      </c>
      <c r="M13" t="s">
        <v>1824</v>
      </c>
      <c r="N13">
        <v>0.68669999999999998</v>
      </c>
      <c r="O13" s="8">
        <f>Table134567891011121323456789[[#This Row],[Offloading Litres]]*Table134567891011121323456789[[#This Row],[Rate]]</f>
        <v>27249.629399999998</v>
      </c>
      <c r="P13" s="9" t="s">
        <v>1682</v>
      </c>
      <c r="Q13" t="s">
        <v>1928</v>
      </c>
    </row>
    <row r="14" spans="1:20" ht="15" hidden="1" thickTop="1" x14ac:dyDescent="0.3">
      <c r="A14" s="7">
        <v>45875</v>
      </c>
      <c r="B14" s="7">
        <v>45875</v>
      </c>
      <c r="C14" t="s">
        <v>34</v>
      </c>
      <c r="D14" t="s">
        <v>15</v>
      </c>
      <c r="E14" t="s">
        <v>617</v>
      </c>
      <c r="F14">
        <v>428927466</v>
      </c>
      <c r="G14">
        <v>803003590</v>
      </c>
      <c r="H14">
        <v>38871</v>
      </c>
      <c r="I14">
        <v>38800</v>
      </c>
      <c r="J14">
        <f>Table134567891011121323456789[[#This Row],[LOADED LITRES]]-Table134567891011121323456789[[#This Row],[Offloading Litres]]</f>
        <v>71</v>
      </c>
      <c r="K14" t="s">
        <v>32</v>
      </c>
      <c r="L14">
        <v>76031099</v>
      </c>
      <c r="M14" t="s">
        <v>1825</v>
      </c>
      <c r="N14">
        <v>0.68669999999999998</v>
      </c>
      <c r="O14" s="8">
        <f>Table134567891011121323456789[[#This Row],[Offloading Litres]]*Table134567891011121323456789[[#This Row],[Rate]]</f>
        <v>26643.96</v>
      </c>
      <c r="P14" s="9" t="s">
        <v>1683</v>
      </c>
      <c r="Q14" t="s">
        <v>1929</v>
      </c>
    </row>
    <row r="15" spans="1:20" ht="15" hidden="1" thickTop="1" x14ac:dyDescent="0.3">
      <c r="A15" s="7">
        <v>45875</v>
      </c>
      <c r="B15" s="7">
        <v>45876</v>
      </c>
      <c r="C15" t="s">
        <v>21</v>
      </c>
      <c r="D15" t="s">
        <v>27</v>
      </c>
      <c r="E15" t="s">
        <v>617</v>
      </c>
      <c r="F15">
        <v>429001603</v>
      </c>
      <c r="G15">
        <v>803008537</v>
      </c>
      <c r="H15">
        <v>39394</v>
      </c>
      <c r="I15">
        <v>39441</v>
      </c>
      <c r="J15">
        <f>Table134567891011121323456789[[#This Row],[LOADED LITRES]]-Table134567891011121323456789[[#This Row],[Offloading Litres]]</f>
        <v>-47</v>
      </c>
      <c r="K15" t="s">
        <v>32</v>
      </c>
      <c r="L15">
        <v>76035607</v>
      </c>
      <c r="M15" t="s">
        <v>1826</v>
      </c>
      <c r="N15">
        <v>0.68669999999999998</v>
      </c>
      <c r="O15" s="8">
        <f>Table134567891011121323456789[[#This Row],[Offloading Litres]]*Table134567891011121323456789[[#This Row],[Rate]]</f>
        <v>27084.134699999999</v>
      </c>
      <c r="P15" s="9" t="s">
        <v>1686</v>
      </c>
      <c r="Q15" t="s">
        <v>1924</v>
      </c>
    </row>
    <row r="16" spans="1:20" ht="15" hidden="1" thickTop="1" x14ac:dyDescent="0.3">
      <c r="A16" s="7">
        <v>45875</v>
      </c>
      <c r="B16" s="7">
        <v>45876</v>
      </c>
      <c r="C16" t="s">
        <v>23</v>
      </c>
      <c r="D16" t="s">
        <v>286</v>
      </c>
      <c r="E16" t="s">
        <v>617</v>
      </c>
      <c r="F16">
        <v>429002626</v>
      </c>
      <c r="G16">
        <v>803008552</v>
      </c>
      <c r="H16">
        <v>38901</v>
      </c>
      <c r="I16">
        <v>38754</v>
      </c>
      <c r="J16">
        <f>Table134567891011121323456789[[#This Row],[LOADED LITRES]]-Table134567891011121323456789[[#This Row],[Offloading Litres]]</f>
        <v>147</v>
      </c>
      <c r="K16" t="s">
        <v>32</v>
      </c>
      <c r="L16">
        <v>76035633</v>
      </c>
      <c r="M16" t="s">
        <v>1827</v>
      </c>
      <c r="N16">
        <v>0.68669999999999998</v>
      </c>
      <c r="O16" s="8">
        <f>Table134567891011121323456789[[#This Row],[Offloading Litres]]*Table134567891011121323456789[[#This Row],[Rate]]</f>
        <v>26612.371800000001</v>
      </c>
      <c r="P16" s="9" t="s">
        <v>1685</v>
      </c>
      <c r="Q16" t="s">
        <v>1927</v>
      </c>
    </row>
    <row r="17" spans="1:17" ht="15" hidden="1" thickTop="1" x14ac:dyDescent="0.3">
      <c r="A17" s="7">
        <v>45875</v>
      </c>
      <c r="B17" s="7">
        <v>45876</v>
      </c>
      <c r="C17" t="s">
        <v>29</v>
      </c>
      <c r="D17" t="s">
        <v>24</v>
      </c>
      <c r="E17" t="s">
        <v>617</v>
      </c>
      <c r="F17">
        <v>429002721</v>
      </c>
      <c r="G17">
        <v>803008734</v>
      </c>
      <c r="H17">
        <v>39716</v>
      </c>
      <c r="I17">
        <v>39588</v>
      </c>
      <c r="J17">
        <f>Table134567891011121323456789[[#This Row],[LOADED LITRES]]-Table134567891011121323456789[[#This Row],[Offloading Litres]]</f>
        <v>128</v>
      </c>
      <c r="K17" t="s">
        <v>32</v>
      </c>
      <c r="L17">
        <v>76035833</v>
      </c>
      <c r="M17" t="s">
        <v>1829</v>
      </c>
      <c r="N17">
        <v>0.68669999999999998</v>
      </c>
      <c r="O17" s="8">
        <f>Table134567891011121323456789[[#This Row],[Offloading Litres]]*Table134567891011121323456789[[#This Row],[Rate]]</f>
        <v>27185.079599999997</v>
      </c>
      <c r="P17" s="9" t="s">
        <v>1688</v>
      </c>
      <c r="Q17" t="s">
        <v>1926</v>
      </c>
    </row>
    <row r="18" spans="1:17" ht="15" hidden="1" thickTop="1" x14ac:dyDescent="0.3">
      <c r="A18" s="7">
        <v>45876</v>
      </c>
      <c r="B18" s="7">
        <v>45876</v>
      </c>
      <c r="C18" t="s">
        <v>30</v>
      </c>
      <c r="D18" t="s">
        <v>624</v>
      </c>
      <c r="E18" t="s">
        <v>1495</v>
      </c>
      <c r="F18">
        <v>428865949</v>
      </c>
      <c r="G18">
        <v>803009079</v>
      </c>
      <c r="H18">
        <v>38923</v>
      </c>
      <c r="I18">
        <v>38875</v>
      </c>
      <c r="J18">
        <f>Table134567891011121323456789[[#This Row],[LOADED LITRES]]-Table134567891011121323456789[[#This Row],[Offloading Litres]]</f>
        <v>48</v>
      </c>
      <c r="K18" t="s">
        <v>32</v>
      </c>
      <c r="L18" s="17" t="s">
        <v>1905</v>
      </c>
      <c r="M18" t="s">
        <v>1914</v>
      </c>
      <c r="N18">
        <v>0.5776</v>
      </c>
      <c r="O18" s="8">
        <f>Table134567891011121323456789[[#This Row],[Offloading Litres]]*Table134567891011121323456789[[#This Row],[Rate]]</f>
        <v>22454.2</v>
      </c>
      <c r="P18" s="9" t="s">
        <v>1687</v>
      </c>
      <c r="Q18" t="s">
        <v>1923</v>
      </c>
    </row>
    <row r="19" spans="1:17" ht="15" hidden="1" thickTop="1" x14ac:dyDescent="0.3">
      <c r="A19" s="7">
        <v>45876</v>
      </c>
      <c r="B19" s="7">
        <v>45877</v>
      </c>
      <c r="C19" t="s">
        <v>28</v>
      </c>
      <c r="D19" t="s">
        <v>349</v>
      </c>
      <c r="E19" t="s">
        <v>617</v>
      </c>
      <c r="F19">
        <v>429002797</v>
      </c>
      <c r="G19">
        <v>803012565</v>
      </c>
      <c r="H19">
        <v>39674</v>
      </c>
      <c r="I19">
        <v>39543</v>
      </c>
      <c r="J19">
        <f>Table134567891011121323456789[[#This Row],[LOADED LITRES]]-Table134567891011121323456789[[#This Row],[Offloading Litres]]</f>
        <v>131</v>
      </c>
      <c r="K19" t="s">
        <v>32</v>
      </c>
      <c r="L19">
        <v>76040019</v>
      </c>
      <c r="M19" t="s">
        <v>1836</v>
      </c>
      <c r="N19">
        <v>0.68669999999999998</v>
      </c>
      <c r="O19" s="8">
        <f>Table134567891011121323456789[[#This Row],[Offloading Litres]]*Table134567891011121323456789[[#This Row],[Rate]]</f>
        <v>27154.178099999997</v>
      </c>
      <c r="P19" s="9" t="s">
        <v>1692</v>
      </c>
      <c r="Q19" t="s">
        <v>1922</v>
      </c>
    </row>
    <row r="20" spans="1:17" ht="15" hidden="1" thickTop="1" x14ac:dyDescent="0.3">
      <c r="A20" s="7">
        <v>45876</v>
      </c>
      <c r="B20" s="7">
        <v>45877</v>
      </c>
      <c r="C20" t="s">
        <v>34</v>
      </c>
      <c r="D20" t="s">
        <v>15</v>
      </c>
      <c r="E20" t="s">
        <v>40</v>
      </c>
      <c r="F20">
        <v>429076191</v>
      </c>
      <c r="G20">
        <v>803012796</v>
      </c>
      <c r="H20">
        <v>44195</v>
      </c>
      <c r="I20">
        <v>44073</v>
      </c>
      <c r="J20">
        <f>Table134567891011121323456789[[#This Row],[LOADED LITRES]]-Table134567891011121323456789[[#This Row],[Offloading Litres]]</f>
        <v>122</v>
      </c>
      <c r="K20" t="s">
        <v>25</v>
      </c>
      <c r="L20">
        <v>76040360</v>
      </c>
      <c r="M20" t="s">
        <v>1835</v>
      </c>
      <c r="N20">
        <v>0.74309999999999998</v>
      </c>
      <c r="O20" s="8">
        <f>Table134567891011121323456789[[#This Row],[Offloading Litres]]*Table134567891011121323456789[[#This Row],[Rate]]</f>
        <v>32750.6463</v>
      </c>
      <c r="P20" s="9" t="s">
        <v>1690</v>
      </c>
      <c r="Q20" t="s">
        <v>1921</v>
      </c>
    </row>
    <row r="21" spans="1:17" ht="15" hidden="1" thickTop="1" x14ac:dyDescent="0.3">
      <c r="A21" s="7">
        <v>45876</v>
      </c>
      <c r="B21" s="7">
        <v>45877</v>
      </c>
      <c r="C21" t="s">
        <v>103</v>
      </c>
      <c r="D21" t="s">
        <v>97</v>
      </c>
      <c r="E21" t="s">
        <v>617</v>
      </c>
      <c r="F21">
        <v>429002806</v>
      </c>
      <c r="G21">
        <v>803013049</v>
      </c>
      <c r="H21">
        <v>39375</v>
      </c>
      <c r="I21">
        <v>39440</v>
      </c>
      <c r="J21">
        <f>Table134567891011121323456789[[#This Row],[LOADED LITRES]]-Table134567891011121323456789[[#This Row],[Offloading Litres]]</f>
        <v>-65</v>
      </c>
      <c r="K21" t="s">
        <v>25</v>
      </c>
      <c r="L21">
        <v>76040608</v>
      </c>
      <c r="M21" t="s">
        <v>1833</v>
      </c>
      <c r="N21">
        <v>0.68669999999999998</v>
      </c>
      <c r="O21" s="8">
        <f>Table134567891011121323456789[[#This Row],[Offloading Litres]]*Table134567891011121323456789[[#This Row],[Rate]]</f>
        <v>27083.448</v>
      </c>
      <c r="P21" s="9" t="s">
        <v>1691</v>
      </c>
      <c r="Q21" t="s">
        <v>1920</v>
      </c>
    </row>
    <row r="22" spans="1:17" ht="15" hidden="1" thickTop="1" x14ac:dyDescent="0.3">
      <c r="A22" s="7">
        <v>45877</v>
      </c>
      <c r="B22" s="7">
        <v>45878</v>
      </c>
      <c r="C22" t="s">
        <v>17</v>
      </c>
      <c r="D22" t="s">
        <v>19</v>
      </c>
      <c r="E22" t="s">
        <v>617</v>
      </c>
      <c r="F22">
        <v>429002827</v>
      </c>
      <c r="G22">
        <v>803013293</v>
      </c>
      <c r="H22">
        <v>38889</v>
      </c>
      <c r="I22">
        <v>38711</v>
      </c>
      <c r="J22">
        <f>Table134567891011121323456789[[#This Row],[LOADED LITRES]]-Table134567891011121323456789[[#This Row],[Offloading Litres]]</f>
        <v>178</v>
      </c>
      <c r="K22" t="s">
        <v>32</v>
      </c>
      <c r="L22">
        <v>76040907</v>
      </c>
      <c r="M22" t="s">
        <v>1838</v>
      </c>
      <c r="N22">
        <v>0.68669999999999998</v>
      </c>
      <c r="O22" s="8">
        <f>Table134567891011121323456789[[#This Row],[Offloading Litres]]*Table134567891011121323456789[[#This Row],[Rate]]</f>
        <v>26582.843699999998</v>
      </c>
      <c r="P22" s="9" t="s">
        <v>1693</v>
      </c>
      <c r="Q22" t="s">
        <v>1971</v>
      </c>
    </row>
    <row r="23" spans="1:17" ht="15" hidden="1" thickTop="1" x14ac:dyDescent="0.3">
      <c r="A23" s="7">
        <v>45877</v>
      </c>
      <c r="B23" s="7">
        <v>45878</v>
      </c>
      <c r="C23" t="s">
        <v>30</v>
      </c>
      <c r="D23" t="s">
        <v>624</v>
      </c>
      <c r="E23" t="s">
        <v>40</v>
      </c>
      <c r="F23">
        <v>429076189</v>
      </c>
      <c r="G23">
        <v>803014999</v>
      </c>
      <c r="H23">
        <v>44199</v>
      </c>
      <c r="I23">
        <v>44031</v>
      </c>
      <c r="J23">
        <f>Table134567891011121323456789[[#This Row],[LOADED LITRES]]-Table134567891011121323456789[[#This Row],[Offloading Litres]]</f>
        <v>168</v>
      </c>
      <c r="K23" t="s">
        <v>25</v>
      </c>
      <c r="L23">
        <v>76042997</v>
      </c>
      <c r="M23" t="s">
        <v>1834</v>
      </c>
      <c r="N23">
        <v>0.74309999999999998</v>
      </c>
      <c r="O23" s="8">
        <f>Table134567891011121323456789[[#This Row],[Offloading Litres]]*Table134567891011121323456789[[#This Row],[Rate]]</f>
        <v>32719.436099999999</v>
      </c>
      <c r="P23" s="9" t="s">
        <v>1696</v>
      </c>
      <c r="Q23" t="s">
        <v>1917</v>
      </c>
    </row>
    <row r="24" spans="1:17" ht="15" hidden="1" thickTop="1" x14ac:dyDescent="0.3">
      <c r="A24" s="7">
        <v>45877</v>
      </c>
      <c r="B24" s="7">
        <v>45880</v>
      </c>
      <c r="C24" t="s">
        <v>22</v>
      </c>
      <c r="D24" t="s">
        <v>26</v>
      </c>
      <c r="E24" t="s">
        <v>1689</v>
      </c>
      <c r="F24">
        <v>2031984</v>
      </c>
      <c r="G24">
        <v>2031984</v>
      </c>
      <c r="H24">
        <v>39376</v>
      </c>
      <c r="I24">
        <v>39230</v>
      </c>
      <c r="J24">
        <f>Table134567891011121323456789[[#This Row],[LOADED LITRES]]-Table134567891011121323456789[[#This Row],[Offloading Litres]]</f>
        <v>146</v>
      </c>
      <c r="K24" t="s">
        <v>32</v>
      </c>
      <c r="L24">
        <v>2031984</v>
      </c>
      <c r="N24">
        <v>0.8</v>
      </c>
      <c r="O24" s="8">
        <f>Table134567891011121323456789[[#This Row],[Offloading Litres]]*Table134567891011121323456789[[#This Row],[Rate]]</f>
        <v>31384</v>
      </c>
      <c r="P24" s="9" t="s">
        <v>1698</v>
      </c>
      <c r="Q24" t="s">
        <v>1945</v>
      </c>
    </row>
    <row r="25" spans="1:17" ht="15" hidden="1" thickTop="1" x14ac:dyDescent="0.3">
      <c r="A25" s="7">
        <v>45877</v>
      </c>
      <c r="B25" s="7">
        <v>45878</v>
      </c>
      <c r="C25" t="s">
        <v>21</v>
      </c>
      <c r="D25" t="s">
        <v>27</v>
      </c>
      <c r="E25" t="s">
        <v>617</v>
      </c>
      <c r="F25">
        <v>429002865</v>
      </c>
      <c r="G25">
        <v>803017424</v>
      </c>
      <c r="H25">
        <v>39348</v>
      </c>
      <c r="I25">
        <v>39488</v>
      </c>
      <c r="J25">
        <f>Table134567891011121323456789[[#This Row],[LOADED LITRES]]-Table134567891011121323456789[[#This Row],[Offloading Litres]]</f>
        <v>-140</v>
      </c>
      <c r="K25" t="s">
        <v>32</v>
      </c>
      <c r="L25">
        <v>76045336</v>
      </c>
      <c r="M25" t="s">
        <v>1830</v>
      </c>
      <c r="N25">
        <v>0.68669999999999998</v>
      </c>
      <c r="O25" s="8">
        <f>Table134567891011121323456789[[#This Row],[Offloading Litres]]*Table134567891011121323456789[[#This Row],[Rate]]</f>
        <v>27116.409599999999</v>
      </c>
      <c r="P25" s="9" t="s">
        <v>1697</v>
      </c>
      <c r="Q25" t="s">
        <v>1990</v>
      </c>
    </row>
    <row r="26" spans="1:17" ht="15" hidden="1" thickTop="1" x14ac:dyDescent="0.3">
      <c r="A26" s="7">
        <v>45877</v>
      </c>
      <c r="B26" s="7">
        <v>45878</v>
      </c>
      <c r="C26" t="s">
        <v>29</v>
      </c>
      <c r="D26" t="s">
        <v>24</v>
      </c>
      <c r="E26" t="s">
        <v>617</v>
      </c>
      <c r="F26">
        <v>429002853</v>
      </c>
      <c r="G26">
        <v>803017673</v>
      </c>
      <c r="H26">
        <v>39666</v>
      </c>
      <c r="I26">
        <v>39649</v>
      </c>
      <c r="J26">
        <f>Table134567891011121323456789[[#This Row],[LOADED LITRES]]-Table134567891011121323456789[[#This Row],[Offloading Litres]]</f>
        <v>17</v>
      </c>
      <c r="K26" t="s">
        <v>32</v>
      </c>
      <c r="L26">
        <v>76045483</v>
      </c>
      <c r="M26" t="s">
        <v>1832</v>
      </c>
      <c r="N26">
        <v>0.68669999999999998</v>
      </c>
      <c r="O26" s="8">
        <f>Table134567891011121323456789[[#This Row],[Offloading Litres]]*Table134567891011121323456789[[#This Row],[Rate]]</f>
        <v>27226.9683</v>
      </c>
      <c r="P26" s="9" t="s">
        <v>1694</v>
      </c>
      <c r="Q26" t="s">
        <v>1919</v>
      </c>
    </row>
    <row r="27" spans="1:17" ht="15" hidden="1" thickTop="1" x14ac:dyDescent="0.3">
      <c r="A27" s="7">
        <v>45877</v>
      </c>
      <c r="B27" s="7">
        <v>45878</v>
      </c>
      <c r="C27" t="s">
        <v>23</v>
      </c>
      <c r="D27" t="s">
        <v>286</v>
      </c>
      <c r="E27" t="s">
        <v>617</v>
      </c>
      <c r="F27">
        <v>429002844</v>
      </c>
      <c r="G27">
        <v>803017802</v>
      </c>
      <c r="H27">
        <v>38864</v>
      </c>
      <c r="I27">
        <v>38809</v>
      </c>
      <c r="J27">
        <f>Table134567891011121323456789[[#This Row],[LOADED LITRES]]-Table134567891011121323456789[[#This Row],[Offloading Litres]]</f>
        <v>55</v>
      </c>
      <c r="K27" t="s">
        <v>32</v>
      </c>
      <c r="L27">
        <v>76045811</v>
      </c>
      <c r="M27" t="s">
        <v>1831</v>
      </c>
      <c r="N27">
        <v>0.68669999999999998</v>
      </c>
      <c r="O27" s="8">
        <f>Table134567891011121323456789[[#This Row],[Offloading Litres]]*Table134567891011121323456789[[#This Row],[Rate]]</f>
        <v>26650.140299999999</v>
      </c>
      <c r="P27" s="9" t="s">
        <v>1695</v>
      </c>
      <c r="Q27" t="s">
        <v>1918</v>
      </c>
    </row>
    <row r="28" spans="1:17" ht="15" hidden="1" thickTop="1" x14ac:dyDescent="0.3">
      <c r="A28" s="7">
        <v>45878</v>
      </c>
      <c r="B28" s="7">
        <v>45880</v>
      </c>
      <c r="C28" t="s">
        <v>28</v>
      </c>
      <c r="D28" t="s">
        <v>349</v>
      </c>
      <c r="E28" t="s">
        <v>40</v>
      </c>
      <c r="F28">
        <v>429076186</v>
      </c>
      <c r="G28">
        <v>803020146</v>
      </c>
      <c r="H28">
        <v>44493</v>
      </c>
      <c r="I28">
        <v>44286</v>
      </c>
      <c r="J28">
        <f>Table134567891011121323456789[[#This Row],[LOADED LITRES]]-Table134567891011121323456789[[#This Row],[Offloading Litres]]</f>
        <v>207</v>
      </c>
      <c r="K28" t="s">
        <v>25</v>
      </c>
      <c r="L28">
        <v>76048752</v>
      </c>
      <c r="M28" t="s">
        <v>1839</v>
      </c>
      <c r="N28">
        <v>0.74309999999999998</v>
      </c>
      <c r="O28" s="8">
        <f>Table134567891011121323456789[[#This Row],[Offloading Litres]]*Table134567891011121323456789[[#This Row],[Rate]]</f>
        <v>32908.926599999999</v>
      </c>
      <c r="P28" s="9" t="s">
        <v>1702</v>
      </c>
      <c r="Q28" t="s">
        <v>1989</v>
      </c>
    </row>
    <row r="29" spans="1:17" ht="15" hidden="1" thickTop="1" x14ac:dyDescent="0.3">
      <c r="A29" s="7">
        <v>45878</v>
      </c>
      <c r="B29" s="7">
        <v>45880</v>
      </c>
      <c r="C29" t="s">
        <v>34</v>
      </c>
      <c r="D29" t="s">
        <v>15</v>
      </c>
      <c r="E29" t="s">
        <v>617</v>
      </c>
      <c r="F29">
        <v>429002883</v>
      </c>
      <c r="G29">
        <v>803629183</v>
      </c>
      <c r="H29">
        <v>38882</v>
      </c>
      <c r="I29">
        <v>38727</v>
      </c>
      <c r="J29">
        <f>Table134567891011121323456789[[#This Row],[LOADED LITRES]]-Table134567891011121323456789[[#This Row],[Offloading Litres]]</f>
        <v>155</v>
      </c>
      <c r="K29" t="s">
        <v>32</v>
      </c>
      <c r="L29">
        <v>76048824</v>
      </c>
      <c r="M29" t="s">
        <v>1840</v>
      </c>
      <c r="N29">
        <v>0.68669999999999998</v>
      </c>
      <c r="O29" s="8">
        <f>Table134567891011121323456789[[#This Row],[Offloading Litres]]*Table134567891011121323456789[[#This Row],[Rate]]</f>
        <v>26593.830900000001</v>
      </c>
      <c r="P29" s="9" t="s">
        <v>1701</v>
      </c>
      <c r="Q29" t="s">
        <v>1991</v>
      </c>
    </row>
    <row r="30" spans="1:17" ht="15" hidden="1" thickTop="1" x14ac:dyDescent="0.3">
      <c r="A30" s="7">
        <v>45878</v>
      </c>
      <c r="B30" s="7">
        <v>45880</v>
      </c>
      <c r="C30" t="s">
        <v>103</v>
      </c>
      <c r="D30" t="s">
        <v>97</v>
      </c>
      <c r="E30" t="s">
        <v>617</v>
      </c>
      <c r="F30">
        <v>429002877</v>
      </c>
      <c r="G30">
        <v>803020225</v>
      </c>
      <c r="H30">
        <v>39373</v>
      </c>
      <c r="I30">
        <v>39320</v>
      </c>
      <c r="J30">
        <f>Table134567891011121323456789[[#This Row],[LOADED LITRES]]-Table134567891011121323456789[[#This Row],[Offloading Litres]]</f>
        <v>53</v>
      </c>
      <c r="K30" t="s">
        <v>32</v>
      </c>
      <c r="L30">
        <v>76048881</v>
      </c>
      <c r="M30" t="s">
        <v>1841</v>
      </c>
      <c r="N30">
        <v>0.68669999999999998</v>
      </c>
      <c r="O30" s="8">
        <f>Table134567891011121323456789[[#This Row],[Offloading Litres]]*Table134567891011121323456789[[#This Row],[Rate]]</f>
        <v>27001.043999999998</v>
      </c>
      <c r="P30" s="9" t="s">
        <v>1700</v>
      </c>
      <c r="Q30" t="s">
        <v>1916</v>
      </c>
    </row>
    <row r="31" spans="1:17" ht="15" hidden="1" thickTop="1" x14ac:dyDescent="0.3">
      <c r="A31" s="7">
        <v>45878</v>
      </c>
      <c r="B31" s="7">
        <v>45880</v>
      </c>
      <c r="C31" t="s">
        <v>17</v>
      </c>
      <c r="D31" t="s">
        <v>619</v>
      </c>
      <c r="E31" t="s">
        <v>617</v>
      </c>
      <c r="F31">
        <v>429003058</v>
      </c>
      <c r="G31">
        <v>803020353</v>
      </c>
      <c r="H31">
        <v>38904</v>
      </c>
      <c r="I31">
        <v>38726</v>
      </c>
      <c r="J31">
        <f>Table134567891011121323456789[[#This Row],[LOADED LITRES]]-Table134567891011121323456789[[#This Row],[Offloading Litres]]</f>
        <v>178</v>
      </c>
      <c r="K31" t="s">
        <v>32</v>
      </c>
      <c r="L31">
        <v>76049003</v>
      </c>
      <c r="M31" t="s">
        <v>1842</v>
      </c>
      <c r="N31">
        <v>0.68669999999999998</v>
      </c>
      <c r="O31" s="8">
        <f>Table134567891011121323456789[[#This Row],[Offloading Litres]]*Table134567891011121323456789[[#This Row],[Rate]]</f>
        <v>26593.144199999999</v>
      </c>
      <c r="P31" s="9" t="s">
        <v>1699</v>
      </c>
      <c r="Q31" t="s">
        <v>1992</v>
      </c>
    </row>
    <row r="32" spans="1:17" ht="15" hidden="1" thickTop="1" x14ac:dyDescent="0.3">
      <c r="A32" s="7">
        <v>45879</v>
      </c>
      <c r="B32" s="7">
        <v>45880</v>
      </c>
      <c r="C32" t="s">
        <v>1596</v>
      </c>
      <c r="D32" t="s">
        <v>1906</v>
      </c>
      <c r="E32" t="s">
        <v>248</v>
      </c>
      <c r="F32">
        <v>429108488</v>
      </c>
      <c r="G32">
        <v>803021096</v>
      </c>
      <c r="H32">
        <v>41781</v>
      </c>
      <c r="I32">
        <v>41840</v>
      </c>
      <c r="J32">
        <f>Table134567891011121323456789[[#This Row],[LOADED LITRES]]-Table134567891011121323456789[[#This Row],[Offloading Litres]]</f>
        <v>-59</v>
      </c>
      <c r="K32" t="s">
        <v>236</v>
      </c>
      <c r="L32" s="18" t="s">
        <v>1907</v>
      </c>
      <c r="M32" t="s">
        <v>1915</v>
      </c>
      <c r="N32">
        <v>0.72289999999999999</v>
      </c>
      <c r="O32" s="8">
        <f>Table134567891011121323456789[[#This Row],[Offloading Litres]]*Table134567891011121323456789[[#This Row],[Rate]]</f>
        <v>30246.135999999999</v>
      </c>
      <c r="P32" s="9"/>
    </row>
    <row r="33" spans="1:17" ht="15" hidden="1" thickTop="1" x14ac:dyDescent="0.3">
      <c r="A33" s="7">
        <v>45879</v>
      </c>
      <c r="B33" s="7">
        <v>45881</v>
      </c>
      <c r="C33" t="s">
        <v>29</v>
      </c>
      <c r="D33" t="s">
        <v>24</v>
      </c>
      <c r="E33" t="s">
        <v>40</v>
      </c>
      <c r="F33">
        <v>429076187</v>
      </c>
      <c r="G33">
        <v>803021817</v>
      </c>
      <c r="H33">
        <v>44234</v>
      </c>
      <c r="I33">
        <v>43993</v>
      </c>
      <c r="J33">
        <f>Table134567891011121323456789[[#This Row],[LOADED LITRES]]-Table134567891011121323456789[[#This Row],[Offloading Litres]]</f>
        <v>241</v>
      </c>
      <c r="K33" t="s">
        <v>25</v>
      </c>
      <c r="L33">
        <v>76049804</v>
      </c>
      <c r="M33" t="s">
        <v>1843</v>
      </c>
      <c r="N33">
        <v>0.74309999999999998</v>
      </c>
      <c r="O33" s="8">
        <f>Table134567891011121323456789[[#This Row],[Offloading Litres]]*Table134567891011121323456789[[#This Row],[Rate]]</f>
        <v>32691.1983</v>
      </c>
      <c r="P33" s="9" t="s">
        <v>1704</v>
      </c>
      <c r="Q33" t="s">
        <v>1944</v>
      </c>
    </row>
    <row r="34" spans="1:17" ht="15" hidden="1" thickTop="1" x14ac:dyDescent="0.3">
      <c r="A34" s="7">
        <v>45879</v>
      </c>
      <c r="B34" s="7">
        <v>45880</v>
      </c>
      <c r="C34" t="s">
        <v>30</v>
      </c>
      <c r="D34" t="s">
        <v>624</v>
      </c>
      <c r="E34" t="s">
        <v>617</v>
      </c>
      <c r="F34">
        <v>429003375</v>
      </c>
      <c r="G34">
        <v>803021048</v>
      </c>
      <c r="H34">
        <v>38873</v>
      </c>
      <c r="I34">
        <v>38829</v>
      </c>
      <c r="J34">
        <f>Table134567891011121323456789[[#This Row],[LOADED LITRES]]-Table134567891011121323456789[[#This Row],[Offloading Litres]]</f>
        <v>44</v>
      </c>
      <c r="K34" t="s">
        <v>32</v>
      </c>
      <c r="L34">
        <v>76049852</v>
      </c>
      <c r="M34" t="s">
        <v>1844</v>
      </c>
      <c r="N34">
        <v>0.68669999999999998</v>
      </c>
      <c r="O34" s="8">
        <f>Table134567891011121323456789[[#This Row],[Offloading Litres]]*Table134567891011121323456789[[#This Row],[Rate]]</f>
        <v>26663.874299999999</v>
      </c>
      <c r="P34" s="9" t="s">
        <v>1703</v>
      </c>
      <c r="Q34" t="s">
        <v>1993</v>
      </c>
    </row>
    <row r="35" spans="1:17" ht="15" hidden="1" thickTop="1" x14ac:dyDescent="0.3">
      <c r="A35" s="7">
        <v>45880</v>
      </c>
      <c r="B35" s="7">
        <v>45881</v>
      </c>
      <c r="C35" t="s">
        <v>23</v>
      </c>
      <c r="D35" t="s">
        <v>33</v>
      </c>
      <c r="E35" t="s">
        <v>40</v>
      </c>
      <c r="F35">
        <v>429076287</v>
      </c>
      <c r="G35">
        <v>803021140</v>
      </c>
      <c r="H35">
        <v>44237</v>
      </c>
      <c r="I35">
        <v>44007</v>
      </c>
      <c r="J35">
        <f>Table134567891011121323456789[[#This Row],[LOADED LITRES]]-Table134567891011121323456789[[#This Row],[Offloading Litres]]</f>
        <v>230</v>
      </c>
      <c r="K35" t="s">
        <v>25</v>
      </c>
      <c r="L35">
        <v>76049983</v>
      </c>
      <c r="M35" t="s">
        <v>1845</v>
      </c>
      <c r="N35">
        <v>0.74309999999999998</v>
      </c>
      <c r="O35" s="8">
        <f>Table134567891011121323456789[[#This Row],[Offloading Litres]]*Table134567891011121323456789[[#This Row],[Rate]]</f>
        <v>32701.601699999999</v>
      </c>
      <c r="P35" s="9" t="s">
        <v>1705</v>
      </c>
      <c r="Q35" t="s">
        <v>1940</v>
      </c>
    </row>
    <row r="36" spans="1:17" ht="15" hidden="1" thickTop="1" x14ac:dyDescent="0.3">
      <c r="A36" s="7">
        <v>45880</v>
      </c>
      <c r="B36" s="7">
        <v>45881</v>
      </c>
      <c r="C36" t="s">
        <v>22</v>
      </c>
      <c r="D36" t="s">
        <v>26</v>
      </c>
      <c r="E36" t="s">
        <v>617</v>
      </c>
      <c r="F36">
        <v>429193638</v>
      </c>
      <c r="G36">
        <v>803025909</v>
      </c>
      <c r="H36">
        <v>39840</v>
      </c>
      <c r="I36">
        <v>39851</v>
      </c>
      <c r="J36">
        <f>Table134567891011121323456789[[#This Row],[LOADED LITRES]]-Table134567891011121323456789[[#This Row],[Offloading Litres]]</f>
        <v>-11</v>
      </c>
      <c r="K36" t="s">
        <v>32</v>
      </c>
      <c r="L36">
        <v>76055194</v>
      </c>
      <c r="M36" t="s">
        <v>1846</v>
      </c>
      <c r="N36">
        <v>0.68669999999999998</v>
      </c>
      <c r="O36" s="8">
        <f>Table134567891011121323456789[[#This Row],[Offloading Litres]]*Table134567891011121323456789[[#This Row],[Rate]]</f>
        <v>27365.681699999997</v>
      </c>
      <c r="P36" s="9" t="s">
        <v>1707</v>
      </c>
      <c r="Q36" t="s">
        <v>1943</v>
      </c>
    </row>
    <row r="37" spans="1:17" ht="15" hidden="1" thickTop="1" x14ac:dyDescent="0.3">
      <c r="A37" s="7">
        <v>45881</v>
      </c>
      <c r="B37" s="7">
        <v>45882</v>
      </c>
      <c r="C37" t="s">
        <v>34</v>
      </c>
      <c r="D37" t="s">
        <v>15</v>
      </c>
      <c r="E37" t="s">
        <v>40</v>
      </c>
      <c r="F37">
        <v>429076286</v>
      </c>
      <c r="G37">
        <v>803025992</v>
      </c>
      <c r="H37">
        <v>44190</v>
      </c>
      <c r="I37">
        <v>43980</v>
      </c>
      <c r="J37">
        <f>Table134567891011121323456789[[#This Row],[LOADED LITRES]]-Table134567891011121323456789[[#This Row],[Offloading Litres]]</f>
        <v>210</v>
      </c>
      <c r="K37" t="s">
        <v>25</v>
      </c>
      <c r="L37">
        <v>76055266</v>
      </c>
      <c r="M37" t="s">
        <v>1847</v>
      </c>
      <c r="N37">
        <v>0.74309999999999998</v>
      </c>
      <c r="O37" s="8">
        <f>Table134567891011121323456789[[#This Row],[Offloading Litres]]*Table134567891011121323456789[[#This Row],[Rate]]</f>
        <v>32681.538</v>
      </c>
      <c r="P37" s="9" t="s">
        <v>1708</v>
      </c>
      <c r="Q37" t="s">
        <v>1941</v>
      </c>
    </row>
    <row r="38" spans="1:17" ht="15" hidden="1" thickTop="1" x14ac:dyDescent="0.3">
      <c r="A38" s="7">
        <v>45881</v>
      </c>
      <c r="B38" s="7">
        <v>45882</v>
      </c>
      <c r="C38" t="s">
        <v>28</v>
      </c>
      <c r="D38" t="s">
        <v>349</v>
      </c>
      <c r="E38" t="s">
        <v>617</v>
      </c>
      <c r="F38">
        <v>429193679</v>
      </c>
      <c r="G38">
        <v>803025994</v>
      </c>
      <c r="H38">
        <v>39647</v>
      </c>
      <c r="I38">
        <v>39498</v>
      </c>
      <c r="J38">
        <f>Table134567891011121323456789[[#This Row],[LOADED LITRES]]-Table134567891011121323456789[[#This Row],[Offloading Litres]]</f>
        <v>149</v>
      </c>
      <c r="K38" t="s">
        <v>32</v>
      </c>
      <c r="L38">
        <v>76055269</v>
      </c>
      <c r="M38" t="s">
        <v>1848</v>
      </c>
      <c r="N38">
        <v>0.68669999999999998</v>
      </c>
      <c r="O38" s="8">
        <f>Table134567891011121323456789[[#This Row],[Offloading Litres]]*Table134567891011121323456789[[#This Row],[Rate]]</f>
        <v>27123.276599999997</v>
      </c>
      <c r="P38" s="9" t="s">
        <v>1709</v>
      </c>
      <c r="Q38" t="s">
        <v>1970</v>
      </c>
    </row>
    <row r="39" spans="1:17" ht="15" hidden="1" thickTop="1" x14ac:dyDescent="0.3">
      <c r="A39" s="7">
        <v>45880</v>
      </c>
      <c r="B39" s="7">
        <v>45881</v>
      </c>
      <c r="C39" t="s">
        <v>103</v>
      </c>
      <c r="D39" t="s">
        <v>97</v>
      </c>
      <c r="E39" t="s">
        <v>617</v>
      </c>
      <c r="F39">
        <v>429193484</v>
      </c>
      <c r="G39">
        <v>803025899</v>
      </c>
      <c r="H39">
        <v>39351</v>
      </c>
      <c r="I39">
        <v>39508</v>
      </c>
      <c r="J39">
        <f>Table134567891011121323456789[[#This Row],[LOADED LITRES]]-Table134567891011121323456789[[#This Row],[Offloading Litres]]</f>
        <v>-157</v>
      </c>
      <c r="K39" t="s">
        <v>32</v>
      </c>
      <c r="L39">
        <v>76055176</v>
      </c>
      <c r="M39" t="s">
        <v>1849</v>
      </c>
      <c r="N39">
        <v>0.68669999999999998</v>
      </c>
      <c r="O39" s="8">
        <f>Table134567891011121323456789[[#This Row],[Offloading Litres]]*Table134567891011121323456789[[#This Row],[Rate]]</f>
        <v>27130.143599999999</v>
      </c>
      <c r="P39" s="9" t="s">
        <v>1706</v>
      </c>
      <c r="Q39" t="s">
        <v>1942</v>
      </c>
    </row>
    <row r="40" spans="1:17" ht="15" hidden="1" thickTop="1" x14ac:dyDescent="0.3">
      <c r="A40" s="7">
        <v>45881</v>
      </c>
      <c r="B40" s="7">
        <v>45882</v>
      </c>
      <c r="C40" t="s">
        <v>17</v>
      </c>
      <c r="D40" t="s">
        <v>619</v>
      </c>
      <c r="E40" t="s">
        <v>617</v>
      </c>
      <c r="F40">
        <v>429193692</v>
      </c>
      <c r="G40">
        <v>803027805</v>
      </c>
      <c r="H40">
        <v>38821</v>
      </c>
      <c r="I40">
        <v>38826</v>
      </c>
      <c r="J40">
        <f>Table134567891011121323456789[[#This Row],[LOADED LITRES]]-Table134567891011121323456789[[#This Row],[Offloading Litres]]</f>
        <v>-5</v>
      </c>
      <c r="K40" t="s">
        <v>32</v>
      </c>
      <c r="L40">
        <v>76057211</v>
      </c>
      <c r="M40" t="s">
        <v>1850</v>
      </c>
      <c r="N40">
        <v>0.68669999999999998</v>
      </c>
      <c r="O40" s="8">
        <f>Table134567891011121323456789[[#This Row],[Offloading Litres]]*Table134567891011121323456789[[#This Row],[Rate]]</f>
        <v>26661.814200000001</v>
      </c>
      <c r="P40" s="9" t="s">
        <v>1711</v>
      </c>
      <c r="Q40" t="s">
        <v>1969</v>
      </c>
    </row>
    <row r="41" spans="1:17" ht="15" hidden="1" thickTop="1" x14ac:dyDescent="0.3">
      <c r="A41" s="7">
        <v>45881</v>
      </c>
      <c r="B41" s="7">
        <v>45882</v>
      </c>
      <c r="C41" t="s">
        <v>30</v>
      </c>
      <c r="D41" t="s">
        <v>624</v>
      </c>
      <c r="E41" t="s">
        <v>617</v>
      </c>
      <c r="F41">
        <v>429193698</v>
      </c>
      <c r="G41">
        <v>803030261</v>
      </c>
      <c r="H41">
        <v>38856</v>
      </c>
      <c r="I41">
        <v>38867</v>
      </c>
      <c r="J41">
        <f>Table134567891011121323456789[[#This Row],[LOADED LITRES]]-Table134567891011121323456789[[#This Row],[Offloading Litres]]</f>
        <v>-11</v>
      </c>
      <c r="K41" t="s">
        <v>32</v>
      </c>
      <c r="L41">
        <v>76059721</v>
      </c>
      <c r="M41" t="s">
        <v>1851</v>
      </c>
      <c r="N41">
        <v>0.68669999999999998</v>
      </c>
      <c r="O41" s="8">
        <f>Table134567891011121323456789[[#This Row],[Offloading Litres]]*Table134567891011121323456789[[#This Row],[Rate]]</f>
        <v>26689.9689</v>
      </c>
      <c r="P41" s="9" t="s">
        <v>1710</v>
      </c>
      <c r="Q41" t="s">
        <v>1939</v>
      </c>
    </row>
    <row r="42" spans="1:17" ht="15" hidden="1" thickTop="1" x14ac:dyDescent="0.3">
      <c r="A42" s="7">
        <v>45882</v>
      </c>
      <c r="B42" s="7">
        <v>45883</v>
      </c>
      <c r="C42" t="s">
        <v>29</v>
      </c>
      <c r="D42" t="s">
        <v>24</v>
      </c>
      <c r="E42" t="s">
        <v>40</v>
      </c>
      <c r="F42">
        <v>429199357</v>
      </c>
      <c r="G42">
        <v>803032200</v>
      </c>
      <c r="H42">
        <v>44222</v>
      </c>
      <c r="I42">
        <v>44265</v>
      </c>
      <c r="J42">
        <f>Table134567891011121323456789[[#This Row],[LOADED LITRES]]-Table134567891011121323456789[[#This Row],[Offloading Litres]]</f>
        <v>-43</v>
      </c>
      <c r="K42" t="s">
        <v>25</v>
      </c>
      <c r="L42">
        <v>76061928</v>
      </c>
      <c r="M42" t="s">
        <v>1852</v>
      </c>
      <c r="N42">
        <v>0.74309999999999998</v>
      </c>
      <c r="O42" s="8">
        <f>Table134567891011121323456789[[#This Row],[Offloading Litres]]*Table134567891011121323456789[[#This Row],[Rate]]</f>
        <v>32893.321499999998</v>
      </c>
      <c r="P42" s="9" t="s">
        <v>1713</v>
      </c>
      <c r="Q42" t="s">
        <v>1982</v>
      </c>
    </row>
    <row r="43" spans="1:17" ht="15" hidden="1" thickTop="1" x14ac:dyDescent="0.3">
      <c r="A43" s="7">
        <v>45882</v>
      </c>
      <c r="B43" s="7">
        <v>45883</v>
      </c>
      <c r="C43" t="s">
        <v>23</v>
      </c>
      <c r="D43" t="s">
        <v>33</v>
      </c>
      <c r="E43" t="s">
        <v>617</v>
      </c>
      <c r="F43">
        <v>429194139</v>
      </c>
      <c r="G43">
        <v>803033022</v>
      </c>
      <c r="H43">
        <v>38845</v>
      </c>
      <c r="I43">
        <v>38830</v>
      </c>
      <c r="J43">
        <f>Table134567891011121323456789[[#This Row],[LOADED LITRES]]-Table134567891011121323456789[[#This Row],[Offloading Litres]]</f>
        <v>15</v>
      </c>
      <c r="K43" t="s">
        <v>32</v>
      </c>
      <c r="L43">
        <v>76062888</v>
      </c>
      <c r="M43" t="s">
        <v>1853</v>
      </c>
      <c r="N43">
        <v>0.68669999999999998</v>
      </c>
      <c r="O43" s="8">
        <f>Table134567891011121323456789[[#This Row],[Offloading Litres]]*Table134567891011121323456789[[#This Row],[Rate]]</f>
        <v>26664.560999999998</v>
      </c>
      <c r="P43" s="9" t="s">
        <v>1712</v>
      </c>
      <c r="Q43" t="s">
        <v>1967</v>
      </c>
    </row>
    <row r="44" spans="1:17" ht="15" hidden="1" thickTop="1" x14ac:dyDescent="0.3">
      <c r="A44" s="7">
        <v>45882</v>
      </c>
      <c r="B44" s="7">
        <v>45887</v>
      </c>
      <c r="C44" t="s">
        <v>22</v>
      </c>
      <c r="D44" t="s">
        <v>26</v>
      </c>
      <c r="E44" t="s">
        <v>40</v>
      </c>
      <c r="F44">
        <v>429199352</v>
      </c>
      <c r="G44">
        <v>803035221</v>
      </c>
      <c r="H44">
        <v>44265</v>
      </c>
      <c r="I44">
        <v>44145</v>
      </c>
      <c r="J44">
        <f>Table134567891011121323456789[[#This Row],[LOADED LITRES]]-Table134567891011121323456789[[#This Row],[Offloading Litres]]</f>
        <v>120</v>
      </c>
      <c r="K44" t="s">
        <v>25</v>
      </c>
      <c r="L44">
        <v>76065202</v>
      </c>
      <c r="M44" t="s">
        <v>1854</v>
      </c>
      <c r="N44">
        <v>0.74309999999999998</v>
      </c>
      <c r="O44" s="8">
        <f>Table134567891011121323456789[[#This Row],[Offloading Litres]]*Table134567891011121323456789[[#This Row],[Rate]]</f>
        <v>32804.1495</v>
      </c>
      <c r="P44" s="9" t="s">
        <v>1728</v>
      </c>
      <c r="Q44" t="s">
        <v>1968</v>
      </c>
    </row>
    <row r="45" spans="1:17" ht="15" hidden="1" thickTop="1" x14ac:dyDescent="0.3">
      <c r="A45" s="7">
        <v>45882</v>
      </c>
      <c r="B45" s="7">
        <v>45883</v>
      </c>
      <c r="C45" t="s">
        <v>103</v>
      </c>
      <c r="D45" t="s">
        <v>97</v>
      </c>
      <c r="E45" t="s">
        <v>617</v>
      </c>
      <c r="F45">
        <v>429194147</v>
      </c>
      <c r="G45">
        <v>803034854</v>
      </c>
      <c r="H45">
        <v>39344</v>
      </c>
      <c r="I45">
        <v>39528</v>
      </c>
      <c r="J45">
        <f>Table134567891011121323456789[[#This Row],[LOADED LITRES]]-Table134567891011121323456789[[#This Row],[Offloading Litres]]</f>
        <v>-184</v>
      </c>
      <c r="K45" t="s">
        <v>32</v>
      </c>
      <c r="L45">
        <v>76064662</v>
      </c>
      <c r="M45" t="s">
        <v>1855</v>
      </c>
      <c r="N45">
        <v>0.68669999999999998</v>
      </c>
      <c r="O45" s="8">
        <f>Table134567891011121323456789[[#This Row],[Offloading Litres]]*Table134567891011121323456789[[#This Row],[Rate]]</f>
        <v>27143.8776</v>
      </c>
      <c r="P45" s="9" t="s">
        <v>1714</v>
      </c>
      <c r="Q45" t="s">
        <v>1966</v>
      </c>
    </row>
    <row r="46" spans="1:17" ht="15" hidden="1" thickTop="1" x14ac:dyDescent="0.3">
      <c r="A46" s="7">
        <v>45883</v>
      </c>
      <c r="B46" s="7">
        <v>45884</v>
      </c>
      <c r="C46" t="s">
        <v>21</v>
      </c>
      <c r="D46" t="s">
        <v>27</v>
      </c>
      <c r="E46" t="s">
        <v>617</v>
      </c>
      <c r="F46">
        <v>429193879</v>
      </c>
      <c r="G46">
        <v>803036319</v>
      </c>
      <c r="H46">
        <v>39451</v>
      </c>
      <c r="I46">
        <v>39401</v>
      </c>
      <c r="J46">
        <f>Table134567891011121323456789[[#This Row],[LOADED LITRES]]-Table134567891011121323456789[[#This Row],[Offloading Litres]]</f>
        <v>50</v>
      </c>
      <c r="K46" t="s">
        <v>32</v>
      </c>
      <c r="L46">
        <v>76065570</v>
      </c>
      <c r="M46" t="s">
        <v>1856</v>
      </c>
      <c r="N46">
        <v>0.68669999999999998</v>
      </c>
      <c r="O46" s="8">
        <f>Table134567891011121323456789[[#This Row],[Offloading Litres]]*Table134567891011121323456789[[#This Row],[Rate]]</f>
        <v>27056.666699999998</v>
      </c>
      <c r="P46" s="9" t="s">
        <v>1715</v>
      </c>
      <c r="Q46" t="s">
        <v>1963</v>
      </c>
    </row>
    <row r="47" spans="1:17" ht="15" hidden="1" thickTop="1" x14ac:dyDescent="0.3">
      <c r="A47" s="7">
        <v>45883</v>
      </c>
      <c r="B47" s="7">
        <v>45884</v>
      </c>
      <c r="C47" t="s">
        <v>28</v>
      </c>
      <c r="D47" t="s">
        <v>349</v>
      </c>
      <c r="E47" t="s">
        <v>617</v>
      </c>
      <c r="F47">
        <v>429194151</v>
      </c>
      <c r="G47">
        <v>803038034</v>
      </c>
      <c r="H47">
        <v>39616</v>
      </c>
      <c r="I47">
        <v>39522</v>
      </c>
      <c r="J47">
        <f>Table134567891011121323456789[[#This Row],[LOADED LITRES]]-Table134567891011121323456789[[#This Row],[Offloading Litres]]</f>
        <v>94</v>
      </c>
      <c r="K47" t="s">
        <v>32</v>
      </c>
      <c r="L47">
        <v>76067152</v>
      </c>
      <c r="M47" t="s">
        <v>1857</v>
      </c>
      <c r="N47">
        <v>0.68669999999999998</v>
      </c>
      <c r="O47" s="8">
        <f>Table134567891011121323456789[[#This Row],[Offloading Litres]]*Table134567891011121323456789[[#This Row],[Rate]]</f>
        <v>27139.757399999999</v>
      </c>
      <c r="P47" s="9" t="s">
        <v>1716</v>
      </c>
      <c r="Q47" t="s">
        <v>1965</v>
      </c>
    </row>
    <row r="48" spans="1:17" ht="15" hidden="1" thickTop="1" x14ac:dyDescent="0.3">
      <c r="A48" s="7">
        <v>45883</v>
      </c>
      <c r="B48" s="7">
        <v>45884</v>
      </c>
      <c r="C48" t="s">
        <v>34</v>
      </c>
      <c r="D48" t="s">
        <v>15</v>
      </c>
      <c r="E48" t="s">
        <v>40</v>
      </c>
      <c r="F48">
        <v>429236223</v>
      </c>
      <c r="G48">
        <v>803037717</v>
      </c>
      <c r="H48">
        <v>44188</v>
      </c>
      <c r="I48">
        <v>44281</v>
      </c>
      <c r="J48">
        <f>Table134567891011121323456789[[#This Row],[LOADED LITRES]]-Table134567891011121323456789[[#This Row],[Offloading Litres]]</f>
        <v>-93</v>
      </c>
      <c r="K48" t="s">
        <v>25</v>
      </c>
      <c r="L48">
        <v>76066768</v>
      </c>
      <c r="M48" t="s">
        <v>1858</v>
      </c>
      <c r="N48">
        <v>0.74309999999999998</v>
      </c>
      <c r="O48" s="8">
        <f>Table134567891011121323456789[[#This Row],[Offloading Litres]]*Table134567891011121323456789[[#This Row],[Rate]]</f>
        <v>32905.2111</v>
      </c>
      <c r="P48" s="9" t="s">
        <v>1718</v>
      </c>
      <c r="Q48" t="s">
        <v>1925</v>
      </c>
    </row>
    <row r="49" spans="1:17" ht="15" hidden="1" thickTop="1" x14ac:dyDescent="0.3">
      <c r="A49" s="7">
        <v>45883</v>
      </c>
      <c r="B49" s="7">
        <v>45884</v>
      </c>
      <c r="C49" t="s">
        <v>17</v>
      </c>
      <c r="D49" t="s">
        <v>624</v>
      </c>
      <c r="E49" t="s">
        <v>40</v>
      </c>
      <c r="F49">
        <v>429236218</v>
      </c>
      <c r="G49">
        <v>803040630</v>
      </c>
      <c r="H49">
        <v>44156</v>
      </c>
      <c r="I49">
        <v>44254</v>
      </c>
      <c r="J49">
        <f>Table134567891011121323456789[[#This Row],[LOADED LITRES]]-Table134567891011121323456789[[#This Row],[Offloading Litres]]</f>
        <v>-98</v>
      </c>
      <c r="K49" t="s">
        <v>25</v>
      </c>
      <c r="L49">
        <v>76069863</v>
      </c>
      <c r="M49" t="s">
        <v>1859</v>
      </c>
      <c r="N49">
        <v>0.74309999999999998</v>
      </c>
      <c r="O49" s="8">
        <f>Table134567891011121323456789[[#This Row],[Offloading Litres]]*Table134567891011121323456789[[#This Row],[Rate]]</f>
        <v>32885.147400000002</v>
      </c>
      <c r="P49" s="9" t="s">
        <v>1717</v>
      </c>
      <c r="Q49" t="s">
        <v>1964</v>
      </c>
    </row>
    <row r="50" spans="1:17" ht="15" hidden="1" thickTop="1" x14ac:dyDescent="0.3">
      <c r="A50" s="7">
        <v>45884</v>
      </c>
      <c r="B50" s="7">
        <v>45886</v>
      </c>
      <c r="C50" t="s">
        <v>30</v>
      </c>
      <c r="D50" t="s">
        <v>619</v>
      </c>
      <c r="E50" t="s">
        <v>40</v>
      </c>
      <c r="F50">
        <v>429236176</v>
      </c>
      <c r="G50">
        <v>803044293</v>
      </c>
      <c r="H50">
        <v>44114</v>
      </c>
      <c r="I50">
        <v>44120</v>
      </c>
      <c r="J50">
        <f>Table134567891011121323456789[[#This Row],[LOADED LITRES]]-Table134567891011121323456789[[#This Row],[Offloading Litres]]</f>
        <v>-6</v>
      </c>
      <c r="K50" t="s">
        <v>25</v>
      </c>
      <c r="L50">
        <v>76074139</v>
      </c>
      <c r="M50" t="s">
        <v>1860</v>
      </c>
      <c r="N50">
        <v>0.75029999999999997</v>
      </c>
      <c r="O50" s="8">
        <f>Table134567891011121323456789[[#This Row],[Offloading Litres]]*Table134567891011121323456789[[#This Row],[Rate]]</f>
        <v>33103.235999999997</v>
      </c>
      <c r="P50" s="9" t="s">
        <v>1721</v>
      </c>
      <c r="Q50" t="s">
        <v>1961</v>
      </c>
    </row>
    <row r="51" spans="1:17" s="15" customFormat="1" ht="15" hidden="1" thickTop="1" x14ac:dyDescent="0.3">
      <c r="A51" s="19">
        <v>45884</v>
      </c>
      <c r="B51" s="19">
        <v>45886</v>
      </c>
      <c r="C51" s="15" t="s">
        <v>103</v>
      </c>
      <c r="D51" s="15" t="s">
        <v>97</v>
      </c>
      <c r="E51" s="15" t="s">
        <v>617</v>
      </c>
      <c r="F51" s="15">
        <v>429194187</v>
      </c>
      <c r="G51" s="15">
        <v>803045184</v>
      </c>
      <c r="H51" s="15">
        <v>39358</v>
      </c>
      <c r="I51" s="15">
        <v>39379</v>
      </c>
      <c r="J51" s="15">
        <f>Table134567891011121323456789[[#This Row],[LOADED LITRES]]-Table134567891011121323456789[[#This Row],[Offloading Litres]]</f>
        <v>-21</v>
      </c>
      <c r="K51" s="15" t="s">
        <v>32</v>
      </c>
      <c r="L51" s="15">
        <v>76075367</v>
      </c>
      <c r="M51" t="s">
        <v>1861</v>
      </c>
      <c r="N51" s="15">
        <v>0.69330000000000003</v>
      </c>
      <c r="O51" s="21">
        <f>Table134567891011121323456789[[#This Row],[Offloading Litres]]*Table134567891011121323456789[[#This Row],[Rate]]</f>
        <v>27301.4607</v>
      </c>
      <c r="P51" s="16" t="s">
        <v>1719</v>
      </c>
      <c r="Q51" s="15" t="s">
        <v>1938</v>
      </c>
    </row>
    <row r="52" spans="1:17" ht="15" hidden="1" thickTop="1" x14ac:dyDescent="0.3">
      <c r="A52" s="7">
        <v>45884</v>
      </c>
      <c r="B52" s="7">
        <v>45886</v>
      </c>
      <c r="C52" t="s">
        <v>23</v>
      </c>
      <c r="D52" t="s">
        <v>33</v>
      </c>
      <c r="E52" t="s">
        <v>617</v>
      </c>
      <c r="F52">
        <v>429194166</v>
      </c>
      <c r="G52">
        <v>803045265</v>
      </c>
      <c r="H52">
        <v>38856</v>
      </c>
      <c r="I52">
        <v>38688</v>
      </c>
      <c r="J52">
        <f>Table134567891011121323456789[[#This Row],[LOADED LITRES]]-Table134567891011121323456789[[#This Row],[Offloading Litres]]</f>
        <v>168</v>
      </c>
      <c r="K52" t="s">
        <v>32</v>
      </c>
      <c r="L52">
        <v>76075413</v>
      </c>
      <c r="M52" t="s">
        <v>1837</v>
      </c>
      <c r="N52" s="15">
        <v>0.69330000000000003</v>
      </c>
      <c r="O52" s="8">
        <f>Table134567891011121323456789[[#This Row],[Offloading Litres]]*Table134567891011121323456789[[#This Row],[Rate]]</f>
        <v>26822.3904</v>
      </c>
      <c r="P52" s="9" t="s">
        <v>1720</v>
      </c>
      <c r="Q52" t="s">
        <v>1962</v>
      </c>
    </row>
    <row r="53" spans="1:17" ht="15" hidden="1" thickTop="1" x14ac:dyDescent="0.3">
      <c r="A53" s="7">
        <v>45885</v>
      </c>
      <c r="B53" s="7">
        <v>45887</v>
      </c>
      <c r="C53" t="s">
        <v>28</v>
      </c>
      <c r="D53" t="s">
        <v>349</v>
      </c>
      <c r="E53" t="s">
        <v>617</v>
      </c>
      <c r="F53">
        <v>429194193</v>
      </c>
      <c r="G53">
        <v>803046980</v>
      </c>
      <c r="H53">
        <v>39607</v>
      </c>
      <c r="I53">
        <v>39530</v>
      </c>
      <c r="J53">
        <f>Table134567891011121323456789[[#This Row],[LOADED LITRES]]-Table134567891011121323456789[[#This Row],[Offloading Litres]]</f>
        <v>77</v>
      </c>
      <c r="K53" t="s">
        <v>32</v>
      </c>
      <c r="L53">
        <v>76077289</v>
      </c>
      <c r="M53" t="s">
        <v>1862</v>
      </c>
      <c r="N53" s="15">
        <v>0.69330000000000003</v>
      </c>
      <c r="O53" s="8">
        <f>Table134567891011121323456789[[#This Row],[Offloading Litres]]*Table134567891011121323456789[[#This Row],[Rate]]</f>
        <v>27406.149000000001</v>
      </c>
      <c r="P53" s="9" t="s">
        <v>1723</v>
      </c>
      <c r="Q53" t="s">
        <v>1958</v>
      </c>
    </row>
    <row r="54" spans="1:17" ht="15" hidden="1" thickTop="1" x14ac:dyDescent="0.3">
      <c r="A54" s="7">
        <v>45885</v>
      </c>
      <c r="B54" s="7">
        <v>45887</v>
      </c>
      <c r="C54" t="s">
        <v>29</v>
      </c>
      <c r="D54" t="s">
        <v>15</v>
      </c>
      <c r="E54" t="s">
        <v>617</v>
      </c>
      <c r="F54">
        <v>429194178</v>
      </c>
      <c r="G54">
        <v>803047359</v>
      </c>
      <c r="H54">
        <v>39641</v>
      </c>
      <c r="I54">
        <v>39581</v>
      </c>
      <c r="J54">
        <f>Table134567891011121323456789[[#This Row],[LOADED LITRES]]-Table134567891011121323456789[[#This Row],[Offloading Litres]]</f>
        <v>60</v>
      </c>
      <c r="K54" t="s">
        <v>32</v>
      </c>
      <c r="L54">
        <v>76077643</v>
      </c>
      <c r="M54" t="s">
        <v>1863</v>
      </c>
      <c r="N54" s="15">
        <v>0.69330000000000003</v>
      </c>
      <c r="O54" s="8">
        <f>Table134567891011121323456789[[#This Row],[Offloading Litres]]*Table134567891011121323456789[[#This Row],[Rate]]</f>
        <v>27441.507300000001</v>
      </c>
      <c r="P54" s="9" t="s">
        <v>1724</v>
      </c>
      <c r="Q54" t="s">
        <v>1960</v>
      </c>
    </row>
    <row r="55" spans="1:17" ht="15" hidden="1" thickTop="1" x14ac:dyDescent="0.3">
      <c r="A55" s="7">
        <v>45885</v>
      </c>
      <c r="B55" s="7">
        <v>45887</v>
      </c>
      <c r="C55" t="s">
        <v>17</v>
      </c>
      <c r="D55" t="s">
        <v>624</v>
      </c>
      <c r="E55" t="s">
        <v>40</v>
      </c>
      <c r="F55">
        <v>429236167</v>
      </c>
      <c r="G55">
        <v>803047454</v>
      </c>
      <c r="H55">
        <v>44137</v>
      </c>
      <c r="I55">
        <v>44199</v>
      </c>
      <c r="J55">
        <f>Table134567891011121323456789[[#This Row],[LOADED LITRES]]-Table134567891011121323456789[[#This Row],[Offloading Litres]]</f>
        <v>-62</v>
      </c>
      <c r="K55" t="s">
        <v>25</v>
      </c>
      <c r="L55">
        <v>76077786</v>
      </c>
      <c r="M55" t="s">
        <v>1864</v>
      </c>
      <c r="N55">
        <v>0.75029999999999997</v>
      </c>
      <c r="O55" s="8">
        <f>Table134567891011121323456789[[#This Row],[Offloading Litres]]*Table134567891011121323456789[[#This Row],[Rate]]</f>
        <v>33162.509699999995</v>
      </c>
      <c r="P55" s="9" t="s">
        <v>1726</v>
      </c>
      <c r="Q55" t="s">
        <v>1959</v>
      </c>
    </row>
    <row r="56" spans="1:17" ht="15" hidden="1" thickTop="1" x14ac:dyDescent="0.3">
      <c r="A56" s="7">
        <v>45886</v>
      </c>
      <c r="B56" s="7">
        <v>45887</v>
      </c>
      <c r="C56" t="s">
        <v>21</v>
      </c>
      <c r="D56" t="s">
        <v>27</v>
      </c>
      <c r="E56" t="s">
        <v>617</v>
      </c>
      <c r="F56">
        <v>429194205</v>
      </c>
      <c r="G56">
        <v>803047591</v>
      </c>
      <c r="H56">
        <v>39385</v>
      </c>
      <c r="I56">
        <v>39367</v>
      </c>
      <c r="J56">
        <f>Table134567891011121323456789[[#This Row],[LOADED LITRES]]-Table134567891011121323456789[[#This Row],[Offloading Litres]]</f>
        <v>18</v>
      </c>
      <c r="K56" t="s">
        <v>32</v>
      </c>
      <c r="L56">
        <v>76077949</v>
      </c>
      <c r="M56" t="s">
        <v>1865</v>
      </c>
      <c r="N56">
        <v>0.69330000000000003</v>
      </c>
      <c r="O56" s="8">
        <f>Table134567891011121323456789[[#This Row],[Offloading Litres]]*Table134567891011121323456789[[#This Row],[Rate]]</f>
        <v>27293.141100000001</v>
      </c>
      <c r="P56" s="9" t="s">
        <v>1725</v>
      </c>
      <c r="Q56" t="s">
        <v>1955</v>
      </c>
    </row>
    <row r="57" spans="1:17" ht="15" hidden="1" thickTop="1" x14ac:dyDescent="0.3">
      <c r="A57" s="7">
        <v>45886</v>
      </c>
      <c r="B57" s="7">
        <v>45887</v>
      </c>
      <c r="C57" t="s">
        <v>34</v>
      </c>
      <c r="D57" t="s">
        <v>15</v>
      </c>
      <c r="E57" t="s">
        <v>617</v>
      </c>
      <c r="F57">
        <v>429194201</v>
      </c>
      <c r="G57">
        <v>803047674</v>
      </c>
      <c r="H57">
        <v>38843</v>
      </c>
      <c r="I57">
        <v>38878</v>
      </c>
      <c r="J57">
        <f>Table134567891011121323456789[[#This Row],[LOADED LITRES]]-Table134567891011121323456789[[#This Row],[Offloading Litres]]</f>
        <v>-35</v>
      </c>
      <c r="K57" t="s">
        <v>32</v>
      </c>
      <c r="L57">
        <v>76078039</v>
      </c>
      <c r="M57" t="s">
        <v>1866</v>
      </c>
      <c r="N57">
        <v>0.69330000000000003</v>
      </c>
      <c r="O57" s="8">
        <f>Table134567891011121323456789[[#This Row],[Offloading Litres]]*Table134567891011121323456789[[#This Row],[Rate]]</f>
        <v>26954.117400000003</v>
      </c>
      <c r="P57" s="9" t="s">
        <v>1727</v>
      </c>
      <c r="Q57" t="s">
        <v>1957</v>
      </c>
    </row>
    <row r="58" spans="1:17" ht="15" hidden="1" thickTop="1" x14ac:dyDescent="0.3">
      <c r="A58" s="7">
        <v>45886</v>
      </c>
      <c r="B58" s="7">
        <v>45887</v>
      </c>
      <c r="C58" t="s">
        <v>103</v>
      </c>
      <c r="D58" t="s">
        <v>97</v>
      </c>
      <c r="E58" t="s">
        <v>617</v>
      </c>
      <c r="F58">
        <v>429194794</v>
      </c>
      <c r="G58">
        <v>803048169</v>
      </c>
      <c r="H58">
        <v>39353</v>
      </c>
      <c r="I58">
        <v>39529</v>
      </c>
      <c r="J58">
        <f>Table134567891011121323456789[[#This Row],[LOADED LITRES]]-Table134567891011121323456789[[#This Row],[Offloading Litres]]</f>
        <v>-176</v>
      </c>
      <c r="K58" t="s">
        <v>32</v>
      </c>
      <c r="L58">
        <v>76078627</v>
      </c>
      <c r="M58" t="s">
        <v>1867</v>
      </c>
      <c r="N58">
        <v>0.69330000000000003</v>
      </c>
      <c r="O58" s="8">
        <f>Table134567891011121323456789[[#This Row],[Offloading Litres]]*Table134567891011121323456789[[#This Row],[Rate]]</f>
        <v>27405.455700000002</v>
      </c>
      <c r="P58" s="9" t="s">
        <v>1730</v>
      </c>
      <c r="Q58" t="s">
        <v>1956</v>
      </c>
    </row>
    <row r="59" spans="1:17" ht="15" hidden="1" thickTop="1" x14ac:dyDescent="0.3">
      <c r="A59" s="7">
        <v>45886</v>
      </c>
      <c r="B59" s="7">
        <v>45887</v>
      </c>
      <c r="C59" t="s">
        <v>23</v>
      </c>
      <c r="D59" t="s">
        <v>33</v>
      </c>
      <c r="E59" t="s">
        <v>617</v>
      </c>
      <c r="F59">
        <v>429194807</v>
      </c>
      <c r="G59">
        <v>803048205</v>
      </c>
      <c r="H59">
        <v>38861</v>
      </c>
      <c r="I59">
        <v>38857</v>
      </c>
      <c r="J59">
        <f>Table134567891011121323456789[[#This Row],[LOADED LITRES]]-Table134567891011121323456789[[#This Row],[Offloading Litres]]</f>
        <v>4</v>
      </c>
      <c r="K59" t="s">
        <v>32</v>
      </c>
      <c r="L59">
        <v>76078673</v>
      </c>
      <c r="M59" t="s">
        <v>1868</v>
      </c>
      <c r="N59">
        <v>0.69330000000000003</v>
      </c>
      <c r="O59" s="8">
        <f>Table134567891011121323456789[[#This Row],[Offloading Litres]]*Table134567891011121323456789[[#This Row],[Rate]]</f>
        <v>26939.558100000002</v>
      </c>
      <c r="P59" s="9" t="s">
        <v>1729</v>
      </c>
      <c r="Q59" t="s">
        <v>1954</v>
      </c>
    </row>
    <row r="60" spans="1:17" ht="15" hidden="1" thickTop="1" x14ac:dyDescent="0.3">
      <c r="A60" s="7">
        <v>45888</v>
      </c>
      <c r="B60" s="7">
        <v>45890</v>
      </c>
      <c r="C60" t="s">
        <v>30</v>
      </c>
      <c r="D60" t="s">
        <v>619</v>
      </c>
      <c r="E60" t="s">
        <v>1778</v>
      </c>
      <c r="F60">
        <v>429381914</v>
      </c>
      <c r="G60">
        <v>803064242</v>
      </c>
      <c r="H60">
        <v>44038</v>
      </c>
      <c r="I60">
        <v>43994</v>
      </c>
      <c r="J60">
        <f>Table134567891011121323456789[[#This Row],[LOADED LITRES]]-Table134567891011121323456789[[#This Row],[Offloading Litres]]</f>
        <v>44</v>
      </c>
      <c r="K60" t="s">
        <v>25</v>
      </c>
      <c r="L60">
        <v>76093575</v>
      </c>
      <c r="M60" t="s">
        <v>1869</v>
      </c>
      <c r="N60">
        <v>0.81</v>
      </c>
      <c r="O60" s="8">
        <f>Table134567891011121323456789[[#This Row],[Offloading Litres]]*Table134567891011121323456789[[#This Row],[Rate]]</f>
        <v>35635.14</v>
      </c>
      <c r="P60" s="9" t="s">
        <v>1780</v>
      </c>
      <c r="Q60" t="s">
        <v>1953</v>
      </c>
    </row>
    <row r="61" spans="1:17" ht="15" hidden="1" thickTop="1" x14ac:dyDescent="0.3">
      <c r="A61" s="7">
        <v>45888</v>
      </c>
      <c r="B61" s="7">
        <v>45896</v>
      </c>
      <c r="C61" t="s">
        <v>29</v>
      </c>
      <c r="D61" t="s">
        <v>24</v>
      </c>
      <c r="E61" t="s">
        <v>1779</v>
      </c>
      <c r="F61" t="s">
        <v>1787</v>
      </c>
      <c r="G61">
        <v>803092243</v>
      </c>
      <c r="H61">
        <v>44209</v>
      </c>
      <c r="I61">
        <v>44034</v>
      </c>
      <c r="J61">
        <f>Table134567891011121323456789[[#This Row],[LOADED LITRES]]-Table134567891011121323456789[[#This Row],[Offloading Litres]]</f>
        <v>175</v>
      </c>
      <c r="K61" t="s">
        <v>25</v>
      </c>
      <c r="L61">
        <v>76120342</v>
      </c>
      <c r="M61" t="s">
        <v>1872</v>
      </c>
      <c r="N61">
        <v>0.75619999999999998</v>
      </c>
      <c r="O61" s="8">
        <f>Table134567891011121323456789[[#This Row],[Offloading Litres]]*Table134567891011121323456789[[#This Row],[Rate]]</f>
        <v>33298.510799999996</v>
      </c>
      <c r="P61" s="9" t="s">
        <v>1796</v>
      </c>
      <c r="Q61" t="s">
        <v>1977</v>
      </c>
    </row>
    <row r="62" spans="1:17" ht="15" hidden="1" thickTop="1" x14ac:dyDescent="0.3">
      <c r="A62" s="7">
        <v>45888</v>
      </c>
      <c r="B62" s="7">
        <v>45890</v>
      </c>
      <c r="C62" t="s">
        <v>28</v>
      </c>
      <c r="D62" t="s">
        <v>349</v>
      </c>
      <c r="E62" t="s">
        <v>617</v>
      </c>
      <c r="F62">
        <v>429466865</v>
      </c>
      <c r="G62">
        <v>803059316</v>
      </c>
      <c r="H62">
        <v>39648</v>
      </c>
      <c r="I62">
        <v>39580</v>
      </c>
      <c r="J62">
        <f>Table134567891011121323456789[[#This Row],[LOADED LITRES]]-Table134567891011121323456789[[#This Row],[Offloading Litres]]</f>
        <v>68</v>
      </c>
      <c r="K62" t="s">
        <v>32</v>
      </c>
      <c r="L62">
        <v>76088853</v>
      </c>
      <c r="M62" t="s">
        <v>1875</v>
      </c>
      <c r="N62">
        <v>0.69330000000000003</v>
      </c>
      <c r="O62" s="8">
        <f>Table134567891011121323456789[[#This Row],[Offloading Litres]]*Table134567891011121323456789[[#This Row],[Rate]]</f>
        <v>27440.814000000002</v>
      </c>
      <c r="P62" s="9" t="s">
        <v>1781</v>
      </c>
      <c r="Q62" t="s">
        <v>1952</v>
      </c>
    </row>
    <row r="63" spans="1:17" ht="15" hidden="1" thickTop="1" x14ac:dyDescent="0.3">
      <c r="A63" s="7">
        <v>45889</v>
      </c>
      <c r="B63" s="7">
        <v>45890</v>
      </c>
      <c r="C63" t="s">
        <v>23</v>
      </c>
      <c r="D63" t="s">
        <v>33</v>
      </c>
      <c r="E63" t="s">
        <v>617</v>
      </c>
      <c r="F63">
        <v>429466379</v>
      </c>
      <c r="G63">
        <v>803060848</v>
      </c>
      <c r="H63">
        <v>38871</v>
      </c>
      <c r="I63">
        <v>38886</v>
      </c>
      <c r="J63">
        <f>Table134567891011121323456789[[#This Row],[LOADED LITRES]]-Table134567891011121323456789[[#This Row],[Offloading Litres]]</f>
        <v>-15</v>
      </c>
      <c r="K63" t="s">
        <v>32</v>
      </c>
      <c r="L63">
        <v>76089951</v>
      </c>
      <c r="M63" t="s">
        <v>1828</v>
      </c>
      <c r="N63">
        <v>0.69330000000000003</v>
      </c>
      <c r="O63" s="8">
        <f>Table134567891011121323456789[[#This Row],[Offloading Litres]]*Table134567891011121323456789[[#This Row],[Rate]]</f>
        <v>26959.663800000002</v>
      </c>
      <c r="P63" s="9" t="s">
        <v>1782</v>
      </c>
      <c r="Q63" t="s">
        <v>1951</v>
      </c>
    </row>
    <row r="64" spans="1:17" s="15" customFormat="1" ht="15" hidden="1" thickTop="1" x14ac:dyDescent="0.3">
      <c r="A64" s="19">
        <v>45889</v>
      </c>
      <c r="B64" s="19">
        <v>45891</v>
      </c>
      <c r="C64" s="15" t="s">
        <v>34</v>
      </c>
      <c r="D64" s="15" t="s">
        <v>286</v>
      </c>
      <c r="E64" s="15" t="s">
        <v>1779</v>
      </c>
      <c r="F64" s="15">
        <v>429421226</v>
      </c>
      <c r="H64" s="15">
        <v>44207</v>
      </c>
      <c r="I64" s="15">
        <v>43953</v>
      </c>
      <c r="J64" s="15">
        <f>Table134567891011121323456789[[#This Row],[LOADED LITRES]]-Table134567891011121323456789[[#This Row],[Offloading Litres]]</f>
        <v>254</v>
      </c>
      <c r="K64" s="15" t="s">
        <v>25</v>
      </c>
      <c r="L64" s="15">
        <v>76097296</v>
      </c>
      <c r="N64" s="15">
        <v>0.75619999999999998</v>
      </c>
      <c r="O64" s="21">
        <f>Table134567891011121323456789[[#This Row],[Offloading Litres]]*Table134567891011121323456789[[#This Row],[Rate]]</f>
        <v>33237.258600000001</v>
      </c>
      <c r="P64" s="16" t="s">
        <v>1784</v>
      </c>
      <c r="Q64" s="15" t="s">
        <v>1949</v>
      </c>
    </row>
    <row r="65" spans="1:17" ht="15" hidden="1" thickTop="1" x14ac:dyDescent="0.3">
      <c r="A65" s="7">
        <v>45889</v>
      </c>
      <c r="B65" s="7">
        <v>45891</v>
      </c>
      <c r="C65" t="s">
        <v>21</v>
      </c>
      <c r="D65" t="s">
        <v>19</v>
      </c>
      <c r="E65" t="s">
        <v>1778</v>
      </c>
      <c r="F65">
        <v>429281921</v>
      </c>
      <c r="G65">
        <v>803069813</v>
      </c>
      <c r="H65">
        <v>44711</v>
      </c>
      <c r="I65">
        <v>44660</v>
      </c>
      <c r="J65">
        <f>Table134567891011121323456789[[#This Row],[LOADED LITRES]]-Table134567891011121323456789[[#This Row],[Offloading Litres]]</f>
        <v>51</v>
      </c>
      <c r="K65" t="s">
        <v>25</v>
      </c>
      <c r="L65">
        <v>76098204</v>
      </c>
      <c r="M65" t="s">
        <v>1876</v>
      </c>
      <c r="N65">
        <v>0.81</v>
      </c>
      <c r="O65" s="8">
        <f>Table134567891011121323456789[[#This Row],[Offloading Litres]]*Table134567891011121323456789[[#This Row],[Rate]]</f>
        <v>36174.600000000006</v>
      </c>
      <c r="P65" s="9" t="s">
        <v>1783</v>
      </c>
      <c r="Q65" t="s">
        <v>1950</v>
      </c>
    </row>
    <row r="66" spans="1:17" ht="15" hidden="1" thickTop="1" x14ac:dyDescent="0.3">
      <c r="A66" s="7">
        <v>45890</v>
      </c>
      <c r="B66" s="7">
        <v>45892</v>
      </c>
      <c r="C66" t="s">
        <v>17</v>
      </c>
      <c r="D66" t="s">
        <v>624</v>
      </c>
      <c r="E66" t="s">
        <v>1779</v>
      </c>
      <c r="F66">
        <v>429420595</v>
      </c>
      <c r="H66">
        <v>44154</v>
      </c>
      <c r="I66">
        <v>43806</v>
      </c>
      <c r="J66">
        <f>Table134567891011121323456789[[#This Row],[LOADED LITRES]]-Table134567891011121323456789[[#This Row],[Offloading Litres]]</f>
        <v>348</v>
      </c>
      <c r="K66" t="s">
        <v>25</v>
      </c>
      <c r="L66">
        <v>76100530</v>
      </c>
      <c r="M66" t="s">
        <v>1870</v>
      </c>
      <c r="N66">
        <v>0.75619999999999998</v>
      </c>
      <c r="O66" s="8">
        <f>Table134567891011121323456789[[#This Row],[Offloading Litres]]*Table134567891011121323456789[[#This Row],[Rate]]</f>
        <v>33126.097199999997</v>
      </c>
      <c r="P66" s="9" t="s">
        <v>1786</v>
      </c>
      <c r="Q66" t="s">
        <v>1947</v>
      </c>
    </row>
    <row r="67" spans="1:17" ht="15" hidden="1" thickTop="1" x14ac:dyDescent="0.3">
      <c r="A67" s="7">
        <v>45890</v>
      </c>
      <c r="B67" s="7">
        <v>45892</v>
      </c>
      <c r="C67" t="s">
        <v>22</v>
      </c>
      <c r="D67" t="s">
        <v>26</v>
      </c>
      <c r="E67" t="s">
        <v>1779</v>
      </c>
      <c r="F67">
        <v>429491218</v>
      </c>
      <c r="H67">
        <v>43583</v>
      </c>
      <c r="I67">
        <v>43243</v>
      </c>
      <c r="J67">
        <f>Table134567891011121323456789[[#This Row],[LOADED LITRES]]-Table134567891011121323456789[[#This Row],[Offloading Litres]]</f>
        <v>340</v>
      </c>
      <c r="K67" t="s">
        <v>25</v>
      </c>
      <c r="L67">
        <v>76100577</v>
      </c>
      <c r="M67" t="s">
        <v>1871</v>
      </c>
      <c r="N67">
        <v>0.75619999999999998</v>
      </c>
      <c r="O67" s="8">
        <f>Table134567891011121323456789[[#This Row],[Offloading Litres]]*Table134567891011121323456789[[#This Row],[Rate]]</f>
        <v>32700.356599999999</v>
      </c>
      <c r="P67" s="9" t="s">
        <v>1788</v>
      </c>
      <c r="Q67" t="s">
        <v>1981</v>
      </c>
    </row>
    <row r="68" spans="1:17" ht="15" hidden="1" thickTop="1" x14ac:dyDescent="0.3">
      <c r="A68" s="7">
        <v>45890</v>
      </c>
      <c r="B68" s="7">
        <v>45891</v>
      </c>
      <c r="C68" t="s">
        <v>103</v>
      </c>
      <c r="D68" t="s">
        <v>287</v>
      </c>
      <c r="E68" t="s">
        <v>1778</v>
      </c>
      <c r="F68">
        <v>429381913</v>
      </c>
      <c r="G68">
        <v>803069865</v>
      </c>
      <c r="H68">
        <v>44399</v>
      </c>
      <c r="I68">
        <v>44740</v>
      </c>
      <c r="J68">
        <f>Table134567891011121323456789[[#This Row],[LOADED LITRES]]-Table134567891011121323456789[[#This Row],[Offloading Litres]]</f>
        <v>-341</v>
      </c>
      <c r="K68" t="s">
        <v>25</v>
      </c>
      <c r="L68">
        <v>76098251</v>
      </c>
      <c r="M68" t="s">
        <v>1874</v>
      </c>
      <c r="N68">
        <v>0.81</v>
      </c>
      <c r="O68" s="8">
        <f>Table134567891011121323456789[[#This Row],[Offloading Litres]]*Table134567891011121323456789[[#This Row],[Rate]]</f>
        <v>36239.4</v>
      </c>
      <c r="P68" s="9" t="s">
        <v>1785</v>
      </c>
      <c r="Q68" t="s">
        <v>1948</v>
      </c>
    </row>
    <row r="69" spans="1:17" ht="15" hidden="1" thickTop="1" x14ac:dyDescent="0.3">
      <c r="A69" s="7">
        <v>45891</v>
      </c>
      <c r="B69" s="7">
        <v>45895</v>
      </c>
      <c r="C69" t="s">
        <v>28</v>
      </c>
      <c r="D69" t="s">
        <v>33</v>
      </c>
      <c r="E69" t="s">
        <v>16</v>
      </c>
      <c r="F69">
        <v>429552509</v>
      </c>
      <c r="G69">
        <v>803073419</v>
      </c>
      <c r="H69">
        <v>44291</v>
      </c>
      <c r="I69">
        <v>44072</v>
      </c>
      <c r="J69">
        <f>Table134567891011121323456789[[#This Row],[LOADED LITRES]]-Table134567891011121323456789[[#This Row],[Offloading Litres]]</f>
        <v>219</v>
      </c>
      <c r="K69" t="s">
        <v>25</v>
      </c>
      <c r="L69">
        <v>76101882</v>
      </c>
      <c r="M69" t="s">
        <v>1873</v>
      </c>
      <c r="N69">
        <v>0.69389999999999996</v>
      </c>
      <c r="O69" s="8">
        <f>Table134567891011121323456789[[#This Row],[Offloading Litres]]*Table134567891011121323456789[[#This Row],[Rate]]</f>
        <v>30581.560799999999</v>
      </c>
      <c r="P69" s="9" t="s">
        <v>1793</v>
      </c>
      <c r="Q69" t="s">
        <v>1980</v>
      </c>
    </row>
    <row r="70" spans="1:17" s="15" customFormat="1" ht="15" hidden="1" thickTop="1" x14ac:dyDescent="0.3">
      <c r="A70" s="19">
        <v>45891</v>
      </c>
      <c r="B70" s="19">
        <v>45894</v>
      </c>
      <c r="C70" s="15" t="s">
        <v>30</v>
      </c>
      <c r="D70" s="15" t="s">
        <v>619</v>
      </c>
      <c r="E70" s="15" t="s">
        <v>16</v>
      </c>
      <c r="F70" s="15">
        <v>429562782</v>
      </c>
      <c r="G70" s="15">
        <v>803074298</v>
      </c>
      <c r="H70" s="15">
        <v>43999</v>
      </c>
      <c r="I70" s="15">
        <v>43796</v>
      </c>
      <c r="J70" s="15">
        <f>Table134567891011121323456789[[#This Row],[LOADED LITRES]]-Table134567891011121323456789[[#This Row],[Offloading Litres]]</f>
        <v>203</v>
      </c>
      <c r="K70" s="15" t="s">
        <v>25</v>
      </c>
      <c r="L70" s="15">
        <v>76102819</v>
      </c>
      <c r="M70" s="15" t="s">
        <v>1877</v>
      </c>
      <c r="N70" s="15">
        <v>0.69389999999999996</v>
      </c>
      <c r="O70" s="21">
        <f>Table134567891011121323456789[[#This Row],[Offloading Litres]]*Table134567891011121323456789[[#This Row],[Rate]]</f>
        <v>30390.044399999999</v>
      </c>
      <c r="P70" s="16" t="s">
        <v>1792</v>
      </c>
      <c r="Q70" s="15" t="s">
        <v>2006</v>
      </c>
    </row>
    <row r="71" spans="1:17" ht="15" hidden="1" thickTop="1" x14ac:dyDescent="0.3">
      <c r="A71" s="7">
        <v>45891</v>
      </c>
      <c r="B71" s="7">
        <v>45896</v>
      </c>
      <c r="C71" t="s">
        <v>23</v>
      </c>
      <c r="D71" t="s">
        <v>349</v>
      </c>
      <c r="E71" t="s">
        <v>16</v>
      </c>
      <c r="F71">
        <v>429552510</v>
      </c>
      <c r="G71">
        <v>803075114</v>
      </c>
      <c r="H71">
        <v>44076</v>
      </c>
      <c r="I71">
        <v>43768</v>
      </c>
      <c r="J71">
        <f>Table134567891011121323456789[[#This Row],[LOADED LITRES]]-Table134567891011121323456789[[#This Row],[Offloading Litres]]</f>
        <v>308</v>
      </c>
      <c r="K71" t="s">
        <v>25</v>
      </c>
      <c r="L71">
        <v>76103997</v>
      </c>
      <c r="M71" t="s">
        <v>1878</v>
      </c>
      <c r="N71">
        <v>0.69389999999999996</v>
      </c>
      <c r="O71" s="8">
        <f>Table134567891011121323456789[[#This Row],[Offloading Litres]]*Table134567891011121323456789[[#This Row],[Rate]]</f>
        <v>30370.615199999997</v>
      </c>
      <c r="P71" s="9" t="s">
        <v>1795</v>
      </c>
      <c r="Q71" t="s">
        <v>1979</v>
      </c>
    </row>
    <row r="72" spans="1:17" ht="15" hidden="1" thickTop="1" x14ac:dyDescent="0.3">
      <c r="A72" s="7">
        <v>45892</v>
      </c>
      <c r="B72" s="7">
        <v>45894</v>
      </c>
      <c r="C72" t="s">
        <v>103</v>
      </c>
      <c r="D72" t="s">
        <v>97</v>
      </c>
      <c r="E72" t="s">
        <v>40</v>
      </c>
      <c r="F72">
        <v>429605215</v>
      </c>
      <c r="G72">
        <v>803077379</v>
      </c>
      <c r="H72">
        <v>44338</v>
      </c>
      <c r="I72">
        <v>44434</v>
      </c>
      <c r="J72">
        <f>Table134567891011121323456789[[#This Row],[LOADED LITRES]]-Table134567891011121323456789[[#This Row],[Offloading Litres]]</f>
        <v>-96</v>
      </c>
      <c r="K72" t="s">
        <v>25</v>
      </c>
      <c r="L72">
        <v>76106353</v>
      </c>
      <c r="M72" t="s">
        <v>1879</v>
      </c>
      <c r="N72">
        <v>0.75029999999999997</v>
      </c>
      <c r="O72" s="8">
        <f>Table134567891011121323456789[[#This Row],[Offloading Litres]]*Table134567891011121323456789[[#This Row],[Rate]]</f>
        <v>33338.830199999997</v>
      </c>
      <c r="P72" s="9" t="s">
        <v>1790</v>
      </c>
      <c r="Q72" t="s">
        <v>1978</v>
      </c>
    </row>
    <row r="73" spans="1:17" ht="15" hidden="1" thickTop="1" x14ac:dyDescent="0.3">
      <c r="A73" s="7">
        <v>45892</v>
      </c>
      <c r="B73" s="7">
        <v>45894</v>
      </c>
      <c r="C73" t="s">
        <v>21</v>
      </c>
      <c r="D73" t="s">
        <v>19</v>
      </c>
      <c r="E73" t="s">
        <v>40</v>
      </c>
      <c r="F73">
        <v>429605213</v>
      </c>
      <c r="G73">
        <v>803077310</v>
      </c>
      <c r="H73">
        <v>44635</v>
      </c>
      <c r="I73">
        <v>44573</v>
      </c>
      <c r="J73">
        <f>Table134567891011121323456789[[#This Row],[LOADED LITRES]]-Table134567891011121323456789[[#This Row],[Offloading Litres]]</f>
        <v>62</v>
      </c>
      <c r="K73" t="s">
        <v>25</v>
      </c>
      <c r="L73">
        <v>76106204</v>
      </c>
      <c r="M73" t="s">
        <v>1880</v>
      </c>
      <c r="N73">
        <v>0.75029999999999997</v>
      </c>
      <c r="O73" s="8">
        <f>Table134567891011121323456789[[#This Row],[Offloading Litres]]*Table134567891011121323456789[[#This Row],[Rate]]</f>
        <v>33443.121899999998</v>
      </c>
      <c r="P73" s="9" t="s">
        <v>1789</v>
      </c>
      <c r="Q73" t="s">
        <v>1946</v>
      </c>
    </row>
    <row r="74" spans="1:17" ht="15" hidden="1" thickTop="1" x14ac:dyDescent="0.3">
      <c r="A74" s="7">
        <v>45893</v>
      </c>
      <c r="B74" s="7">
        <v>45894</v>
      </c>
      <c r="C74" t="s">
        <v>17</v>
      </c>
      <c r="D74" t="s">
        <v>624</v>
      </c>
      <c r="E74" t="s">
        <v>40</v>
      </c>
      <c r="F74">
        <v>429605214</v>
      </c>
      <c r="G74">
        <v>803077632</v>
      </c>
      <c r="H74">
        <v>44064</v>
      </c>
      <c r="I74">
        <v>44237</v>
      </c>
      <c r="J74">
        <f>Table134567891011121323456789[[#This Row],[LOADED LITRES]]-Table134567891011121323456789[[#This Row],[Offloading Litres]]</f>
        <v>-173</v>
      </c>
      <c r="K74" t="s">
        <v>25</v>
      </c>
      <c r="L74">
        <v>76106678</v>
      </c>
      <c r="M74" t="s">
        <v>1881</v>
      </c>
      <c r="N74">
        <v>0.75029999999999997</v>
      </c>
      <c r="O74" s="8">
        <f>Table134567891011121323456789[[#This Row],[Offloading Litres]]*Table134567891011121323456789[[#This Row],[Rate]]</f>
        <v>33191.021099999998</v>
      </c>
      <c r="P74" s="9" t="s">
        <v>1791</v>
      </c>
      <c r="Q74" t="s">
        <v>1977</v>
      </c>
    </row>
    <row r="75" spans="1:17" ht="15" hidden="1" thickTop="1" x14ac:dyDescent="0.3">
      <c r="A75" s="7">
        <v>45894</v>
      </c>
      <c r="B75" s="7">
        <v>45896</v>
      </c>
      <c r="C75" t="s">
        <v>34</v>
      </c>
      <c r="D75" t="s">
        <v>286</v>
      </c>
      <c r="E75" t="s">
        <v>16</v>
      </c>
      <c r="F75">
        <v>429562839</v>
      </c>
      <c r="G75">
        <v>803080195</v>
      </c>
      <c r="H75">
        <v>43988</v>
      </c>
      <c r="I75">
        <v>43949</v>
      </c>
      <c r="J75">
        <f>Table134567891011121323456789[[#This Row],[LOADED LITRES]]-Table134567891011121323456789[[#This Row],[Offloading Litres]]</f>
        <v>39</v>
      </c>
      <c r="K75" t="s">
        <v>25</v>
      </c>
      <c r="L75">
        <v>76109479</v>
      </c>
      <c r="M75" t="s">
        <v>1882</v>
      </c>
      <c r="N75">
        <v>0.69389999999999996</v>
      </c>
      <c r="O75" s="8">
        <f>Table134567891011121323456789[[#This Row],[Offloading Litres]]*Table134567891011121323456789[[#This Row],[Rate]]</f>
        <v>30496.211099999997</v>
      </c>
      <c r="P75" s="9" t="s">
        <v>1797</v>
      </c>
      <c r="Q75" t="s">
        <v>1975</v>
      </c>
    </row>
    <row r="76" spans="1:17" ht="15" hidden="1" thickTop="1" x14ac:dyDescent="0.3">
      <c r="A76" s="7">
        <v>45895</v>
      </c>
      <c r="B76" s="7">
        <v>45897</v>
      </c>
      <c r="C76" t="s">
        <v>21</v>
      </c>
      <c r="D76" t="s">
        <v>19</v>
      </c>
      <c r="E76" t="s">
        <v>16</v>
      </c>
      <c r="F76">
        <v>429563245</v>
      </c>
      <c r="G76">
        <v>803082909</v>
      </c>
      <c r="H76">
        <v>39327</v>
      </c>
      <c r="I76">
        <v>39299</v>
      </c>
      <c r="J76">
        <f>Table134567891011121323456789[[#This Row],[LOADED LITRES]]-Table134567891011121323456789[[#This Row],[Offloading Litres]]</f>
        <v>28</v>
      </c>
      <c r="K76" t="s">
        <v>32</v>
      </c>
      <c r="L76">
        <v>76112154</v>
      </c>
      <c r="M76" t="s">
        <v>1883</v>
      </c>
      <c r="N76">
        <v>0.69389999999999996</v>
      </c>
      <c r="O76" s="8">
        <f>Table134567891011121323456789[[#This Row],[Offloading Litres]]*Table134567891011121323456789[[#This Row],[Rate]]</f>
        <v>27269.576099999998</v>
      </c>
      <c r="P76" s="9" t="s">
        <v>1800</v>
      </c>
      <c r="Q76" t="s">
        <v>1974</v>
      </c>
    </row>
    <row r="77" spans="1:17" ht="15" hidden="1" thickTop="1" x14ac:dyDescent="0.3">
      <c r="A77" s="7">
        <v>45895</v>
      </c>
      <c r="B77" s="7">
        <v>45897</v>
      </c>
      <c r="C77" t="s">
        <v>103</v>
      </c>
      <c r="D77" t="s">
        <v>97</v>
      </c>
      <c r="E77" t="s">
        <v>16</v>
      </c>
      <c r="F77">
        <v>429562881</v>
      </c>
      <c r="G77">
        <v>803082938</v>
      </c>
      <c r="H77">
        <v>44386</v>
      </c>
      <c r="I77">
        <v>44462</v>
      </c>
      <c r="J77">
        <f>Table134567891011121323456789[[#This Row],[LOADED LITRES]]-Table134567891011121323456789[[#This Row],[Offloading Litres]]</f>
        <v>-76</v>
      </c>
      <c r="K77" t="s">
        <v>25</v>
      </c>
      <c r="L77">
        <v>76112189</v>
      </c>
      <c r="M77" t="s">
        <v>1884</v>
      </c>
      <c r="N77">
        <v>0.69389999999999996</v>
      </c>
      <c r="O77" s="8">
        <f>Table134567891011121323456789[[#This Row],[Offloading Litres]]*Table134567891011121323456789[[#This Row],[Rate]]</f>
        <v>30852.181799999998</v>
      </c>
      <c r="P77" s="9" t="s">
        <v>1801</v>
      </c>
      <c r="Q77" t="s">
        <v>1976</v>
      </c>
    </row>
    <row r="78" spans="1:17" ht="15" hidden="1" thickTop="1" x14ac:dyDescent="0.3">
      <c r="A78" s="7">
        <v>45895</v>
      </c>
      <c r="B78" s="7">
        <v>45897</v>
      </c>
      <c r="C78" t="s">
        <v>17</v>
      </c>
      <c r="D78" t="s">
        <v>624</v>
      </c>
      <c r="E78" t="s">
        <v>40</v>
      </c>
      <c r="F78">
        <v>429690482</v>
      </c>
      <c r="G78">
        <v>803088579</v>
      </c>
      <c r="H78">
        <v>38821</v>
      </c>
      <c r="I78">
        <v>38883</v>
      </c>
      <c r="J78">
        <f>Table134567891011121323456789[[#This Row],[LOADED LITRES]]-Table134567891011121323456789[[#This Row],[Offloading Litres]]</f>
        <v>-62</v>
      </c>
      <c r="K78" t="s">
        <v>32</v>
      </c>
      <c r="L78">
        <v>76117078</v>
      </c>
      <c r="M78" t="s">
        <v>1885</v>
      </c>
      <c r="N78">
        <v>0.75029999999999997</v>
      </c>
      <c r="O78" s="8">
        <f>Table134567891011121323456789[[#This Row],[Offloading Litres]]*Table134567891011121323456789[[#This Row],[Rate]]</f>
        <v>29173.9149</v>
      </c>
      <c r="P78" s="9" t="s">
        <v>1798</v>
      </c>
      <c r="Q78" t="s">
        <v>2003</v>
      </c>
    </row>
    <row r="79" spans="1:17" ht="15" thickTop="1" x14ac:dyDescent="0.3">
      <c r="A79" s="7">
        <v>45895</v>
      </c>
      <c r="B79" s="7">
        <v>45897</v>
      </c>
      <c r="C79" t="s">
        <v>1794</v>
      </c>
      <c r="D79" t="s">
        <v>619</v>
      </c>
      <c r="E79" t="s">
        <v>40</v>
      </c>
      <c r="F79">
        <v>429690483</v>
      </c>
      <c r="G79">
        <v>803089060</v>
      </c>
      <c r="H79">
        <v>39814</v>
      </c>
      <c r="I79">
        <v>39778</v>
      </c>
      <c r="J79">
        <f>Table134567891011121323456789[[#This Row],[LOADED LITRES]]-Table134567891011121323456789[[#This Row],[Offloading Litres]]</f>
        <v>36</v>
      </c>
      <c r="K79" t="s">
        <v>32</v>
      </c>
      <c r="L79">
        <v>76117174</v>
      </c>
      <c r="M79" t="s">
        <v>1886</v>
      </c>
      <c r="N79">
        <v>0.75029999999999997</v>
      </c>
      <c r="O79" s="8">
        <f>Table134567891011121323456789[[#This Row],[Offloading Litres]]*Table134567891011121323456789[[#This Row],[Rate]]</f>
        <v>29845.433399999998</v>
      </c>
      <c r="P79" s="9" t="s">
        <v>1799</v>
      </c>
      <c r="Q79" t="s">
        <v>2002</v>
      </c>
    </row>
    <row r="80" spans="1:17" s="15" customFormat="1" hidden="1" x14ac:dyDescent="0.3">
      <c r="A80" s="19">
        <v>45897</v>
      </c>
      <c r="B80" s="19">
        <v>45899</v>
      </c>
      <c r="C80" s="15" t="s">
        <v>34</v>
      </c>
      <c r="D80" s="15" t="s">
        <v>286</v>
      </c>
      <c r="E80" s="15" t="s">
        <v>40</v>
      </c>
      <c r="F80" s="15">
        <v>429743057</v>
      </c>
      <c r="G80" s="15">
        <v>803096087</v>
      </c>
      <c r="H80" s="15">
        <v>39756</v>
      </c>
      <c r="I80" s="15">
        <v>39814</v>
      </c>
      <c r="J80" s="15">
        <f>Table134567891011121323456789[[#This Row],[LOADED LITRES]]-Table134567891011121323456789[[#This Row],[Offloading Litres]]</f>
        <v>-58</v>
      </c>
      <c r="K80" s="15" t="s">
        <v>32</v>
      </c>
      <c r="L80" s="15">
        <v>76123875</v>
      </c>
      <c r="M80" s="15" t="s">
        <v>1887</v>
      </c>
      <c r="N80" s="15">
        <v>0.75029999999999997</v>
      </c>
      <c r="O80" s="21">
        <f>Table134567891011121323456789[[#This Row],[Offloading Litres]]*Table134567891011121323456789[[#This Row],[Rate]]</f>
        <v>29872.444199999998</v>
      </c>
      <c r="P80" s="16" t="s">
        <v>1808</v>
      </c>
      <c r="Q80" s="15" t="s">
        <v>2001</v>
      </c>
    </row>
    <row r="81" spans="1:17" hidden="1" x14ac:dyDescent="0.3">
      <c r="A81" s="7">
        <v>45897</v>
      </c>
      <c r="B81" s="7">
        <v>45898</v>
      </c>
      <c r="C81" t="s">
        <v>29</v>
      </c>
      <c r="D81" t="s">
        <v>24</v>
      </c>
      <c r="E81" t="s">
        <v>16</v>
      </c>
      <c r="F81">
        <v>429562955</v>
      </c>
      <c r="G81">
        <v>803095800</v>
      </c>
      <c r="H81">
        <v>44129</v>
      </c>
      <c r="I81">
        <v>44113</v>
      </c>
      <c r="J81">
        <f>Table134567891011121323456789[[#This Row],[LOADED LITRES]]-Table134567891011121323456789[[#This Row],[Offloading Litres]]</f>
        <v>16</v>
      </c>
      <c r="K81" t="s">
        <v>25</v>
      </c>
      <c r="L81">
        <v>76123641</v>
      </c>
      <c r="M81" t="s">
        <v>1888</v>
      </c>
      <c r="N81">
        <v>0.69389999999999996</v>
      </c>
      <c r="O81" s="8">
        <f>Table134567891011121323456789[[#This Row],[Offloading Litres]]*Table134567891011121323456789[[#This Row],[Rate]]</f>
        <v>30610.010699999999</v>
      </c>
      <c r="P81" s="9" t="s">
        <v>1802</v>
      </c>
      <c r="Q81" t="s">
        <v>1973</v>
      </c>
    </row>
    <row r="82" spans="1:17" hidden="1" x14ac:dyDescent="0.3">
      <c r="A82" s="7">
        <v>45897</v>
      </c>
      <c r="B82" s="7">
        <v>45899</v>
      </c>
      <c r="C82" t="s">
        <v>28</v>
      </c>
      <c r="D82" t="s">
        <v>33</v>
      </c>
      <c r="E82" t="s">
        <v>40</v>
      </c>
      <c r="F82">
        <v>429743050</v>
      </c>
      <c r="G82">
        <v>803096438</v>
      </c>
      <c r="H82">
        <v>39739</v>
      </c>
      <c r="I82">
        <v>39686</v>
      </c>
      <c r="J82">
        <f>Table134567891011121323456789[[#This Row],[LOADED LITRES]]-Table134567891011121323456789[[#This Row],[Offloading Litres]]</f>
        <v>53</v>
      </c>
      <c r="K82" t="s">
        <v>32</v>
      </c>
      <c r="L82">
        <v>76124179</v>
      </c>
      <c r="M82" t="s">
        <v>1889</v>
      </c>
      <c r="N82">
        <v>0.75029999999999997</v>
      </c>
      <c r="O82" s="8">
        <f>Table134567891011121323456789[[#This Row],[Offloading Litres]]*Table134567891011121323456789[[#This Row],[Rate]]</f>
        <v>29776.4058</v>
      </c>
      <c r="P82" s="9" t="s">
        <v>1805</v>
      </c>
      <c r="Q82" t="s">
        <v>2000</v>
      </c>
    </row>
    <row r="83" spans="1:17" hidden="1" x14ac:dyDescent="0.3">
      <c r="A83" s="7">
        <v>45897</v>
      </c>
      <c r="B83" s="7">
        <v>45899</v>
      </c>
      <c r="C83" t="s">
        <v>23</v>
      </c>
      <c r="D83" t="s">
        <v>349</v>
      </c>
      <c r="E83" t="s">
        <v>40</v>
      </c>
      <c r="F83">
        <v>429743128</v>
      </c>
      <c r="G83">
        <v>803095870</v>
      </c>
      <c r="H83">
        <v>39774</v>
      </c>
      <c r="I83">
        <v>39723</v>
      </c>
      <c r="J83">
        <f>Table134567891011121323456789[[#This Row],[LOADED LITRES]]-Table134567891011121323456789[[#This Row],[Offloading Litres]]</f>
        <v>51</v>
      </c>
      <c r="K83" t="s">
        <v>32</v>
      </c>
      <c r="L83">
        <v>76123649</v>
      </c>
      <c r="M83" t="s">
        <v>1890</v>
      </c>
      <c r="N83">
        <v>0.75029999999999997</v>
      </c>
      <c r="O83" s="8">
        <f>Table134567891011121323456789[[#This Row],[Offloading Litres]]*Table134567891011121323456789[[#This Row],[Rate]]</f>
        <v>29804.1669</v>
      </c>
      <c r="P83" s="9" t="s">
        <v>1806</v>
      </c>
      <c r="Q83" t="s">
        <v>1999</v>
      </c>
    </row>
    <row r="84" spans="1:17" hidden="1" x14ac:dyDescent="0.3">
      <c r="A84" s="7">
        <v>45897</v>
      </c>
      <c r="B84" s="7">
        <v>45898</v>
      </c>
      <c r="C84" t="s">
        <v>22</v>
      </c>
      <c r="D84" t="s">
        <v>26</v>
      </c>
      <c r="E84" t="s">
        <v>40</v>
      </c>
      <c r="F84">
        <v>429743127</v>
      </c>
      <c r="G84">
        <v>803097070</v>
      </c>
      <c r="H84">
        <v>39745</v>
      </c>
      <c r="I84">
        <v>39884</v>
      </c>
      <c r="J84">
        <f>Table134567891011121323456789[[#This Row],[LOADED LITRES]]-Table134567891011121323456789[[#This Row],[Offloading Litres]]</f>
        <v>-139</v>
      </c>
      <c r="K84" t="s">
        <v>32</v>
      </c>
      <c r="L84">
        <v>76124816</v>
      </c>
      <c r="M84" t="s">
        <v>1891</v>
      </c>
      <c r="N84">
        <v>0.75029999999999997</v>
      </c>
      <c r="O84" s="8">
        <f>Table134567891011121323456789[[#This Row],[Offloading Litres]]*Table134567891011121323456789[[#This Row],[Rate]]</f>
        <v>29924.965199999999</v>
      </c>
      <c r="P84" s="9" t="s">
        <v>1803</v>
      </c>
      <c r="Q84" t="s">
        <v>1972</v>
      </c>
    </row>
    <row r="85" spans="1:17" x14ac:dyDescent="0.3">
      <c r="A85" s="7">
        <v>45898</v>
      </c>
      <c r="B85" s="7">
        <v>45898</v>
      </c>
      <c r="C85" t="s">
        <v>1794</v>
      </c>
      <c r="D85" t="s">
        <v>619</v>
      </c>
      <c r="E85" t="s">
        <v>16</v>
      </c>
      <c r="F85">
        <v>429563276</v>
      </c>
      <c r="G85">
        <v>803099768</v>
      </c>
      <c r="H85">
        <v>39830</v>
      </c>
      <c r="I85">
        <v>39883</v>
      </c>
      <c r="J85">
        <f>Table134567891011121323456789[[#This Row],[LOADED LITRES]]-Table134567891011121323456789[[#This Row],[Offloading Litres]]</f>
        <v>-53</v>
      </c>
      <c r="K85" t="s">
        <v>32</v>
      </c>
      <c r="L85">
        <v>76127514</v>
      </c>
      <c r="M85" t="s">
        <v>1894</v>
      </c>
      <c r="N85">
        <v>0.69389999999999996</v>
      </c>
      <c r="O85" s="8">
        <f>Table134567891011121323456789[[#This Row],[Offloading Litres]]*Table134567891011121323456789[[#This Row],[Rate]]</f>
        <v>27674.813699999999</v>
      </c>
      <c r="P85" s="9" t="s">
        <v>1804</v>
      </c>
      <c r="Q85" t="s">
        <v>1995</v>
      </c>
    </row>
    <row r="86" spans="1:17" hidden="1" x14ac:dyDescent="0.3">
      <c r="A86" s="7">
        <v>45898</v>
      </c>
      <c r="B86" s="7">
        <v>45899</v>
      </c>
      <c r="C86" t="s">
        <v>17</v>
      </c>
      <c r="D86" t="s">
        <v>624</v>
      </c>
      <c r="E86" t="s">
        <v>16</v>
      </c>
      <c r="F86">
        <v>429562981</v>
      </c>
      <c r="G86">
        <v>803099849</v>
      </c>
      <c r="H86">
        <v>44103</v>
      </c>
      <c r="I86">
        <v>44013</v>
      </c>
      <c r="J86">
        <f>Table134567891011121323456789[[#This Row],[LOADED LITRES]]-Table134567891011121323456789[[#This Row],[Offloading Litres]]</f>
        <v>90</v>
      </c>
      <c r="K86" t="s">
        <v>25</v>
      </c>
      <c r="L86">
        <v>76127598</v>
      </c>
      <c r="M86" t="s">
        <v>1892</v>
      </c>
      <c r="N86">
        <v>0.69389999999999996</v>
      </c>
      <c r="O86" s="8">
        <f>Table134567891011121323456789[[#This Row],[Offloading Litres]]*Table134567891011121323456789[[#This Row],[Rate]]</f>
        <v>30540.620699999999</v>
      </c>
      <c r="P86" s="9" t="s">
        <v>1807</v>
      </c>
      <c r="Q86" t="s">
        <v>1997</v>
      </c>
    </row>
    <row r="87" spans="1:17" hidden="1" x14ac:dyDescent="0.3">
      <c r="A87" s="7">
        <v>45898</v>
      </c>
      <c r="B87" s="7">
        <v>45900</v>
      </c>
      <c r="C87" t="s">
        <v>21</v>
      </c>
      <c r="D87" t="s">
        <v>27</v>
      </c>
      <c r="E87" t="s">
        <v>40</v>
      </c>
      <c r="F87">
        <v>429743129</v>
      </c>
      <c r="G87">
        <v>803104189</v>
      </c>
      <c r="H87">
        <v>39780</v>
      </c>
      <c r="I87">
        <v>39834</v>
      </c>
      <c r="J87">
        <f>Table134567891011121323456789[[#This Row],[LOADED LITRES]]-Table134567891011121323456789[[#This Row],[Offloading Litres]]</f>
        <v>-54</v>
      </c>
      <c r="K87" t="s">
        <v>32</v>
      </c>
      <c r="L87">
        <v>76132165</v>
      </c>
      <c r="M87" t="s">
        <v>1893</v>
      </c>
      <c r="N87">
        <v>0.75029999999999997</v>
      </c>
      <c r="O87" s="8">
        <f>Table134567891011121323456789[[#This Row],[Offloading Litres]]*Table134567891011121323456789[[#This Row],[Rate]]</f>
        <v>29887.450199999999</v>
      </c>
      <c r="P87" s="9" t="s">
        <v>1810</v>
      </c>
      <c r="Q87" t="s">
        <v>1996</v>
      </c>
    </row>
    <row r="88" spans="1:17" hidden="1" x14ac:dyDescent="0.3">
      <c r="A88" s="7">
        <v>45898</v>
      </c>
      <c r="B88" s="7">
        <v>45899</v>
      </c>
      <c r="C88" t="s">
        <v>103</v>
      </c>
      <c r="D88" t="s">
        <v>97</v>
      </c>
      <c r="E88" t="s">
        <v>16</v>
      </c>
      <c r="F88">
        <v>429563015</v>
      </c>
      <c r="G88">
        <v>803102951</v>
      </c>
      <c r="H88">
        <v>44285</v>
      </c>
      <c r="I88">
        <v>44403</v>
      </c>
      <c r="J88">
        <f>Table134567891011121323456789[[#This Row],[LOADED LITRES]]-Table134567891011121323456789[[#This Row],[Offloading Litres]]</f>
        <v>-118</v>
      </c>
      <c r="K88" t="s">
        <v>25</v>
      </c>
      <c r="L88">
        <v>76130740</v>
      </c>
      <c r="M88" t="s">
        <v>1896</v>
      </c>
      <c r="N88">
        <v>0.69389999999999996</v>
      </c>
      <c r="O88" s="8">
        <f>Table134567891011121323456789[[#This Row],[Offloading Litres]]*Table134567891011121323456789[[#This Row],[Rate]]</f>
        <v>30811.241699999999</v>
      </c>
      <c r="P88" s="9" t="s">
        <v>1809</v>
      </c>
      <c r="Q88" t="s">
        <v>1998</v>
      </c>
    </row>
    <row r="89" spans="1:17" hidden="1" x14ac:dyDescent="0.3">
      <c r="A89" s="7">
        <v>45899</v>
      </c>
      <c r="B89" s="7">
        <v>45901</v>
      </c>
      <c r="C89" t="s">
        <v>29</v>
      </c>
      <c r="D89" t="s">
        <v>15</v>
      </c>
      <c r="E89" t="s">
        <v>40</v>
      </c>
      <c r="F89">
        <v>429743135</v>
      </c>
      <c r="G89">
        <v>803105531</v>
      </c>
      <c r="H89">
        <v>39731</v>
      </c>
      <c r="I89">
        <v>39804</v>
      </c>
      <c r="J89">
        <f>Table134567891011121323456789[[#This Row],[LOADED LITRES]]-Table134567891011121323456789[[#This Row],[Offloading Litres]]</f>
        <v>-73</v>
      </c>
      <c r="K89" t="s">
        <v>32</v>
      </c>
      <c r="L89">
        <v>76133905</v>
      </c>
      <c r="M89" t="s">
        <v>1895</v>
      </c>
      <c r="N89">
        <v>0.75029999999999997</v>
      </c>
      <c r="O89" s="8">
        <f>Table134567891011121323456789[[#This Row],[Offloading Litres]]*Table134567891011121323456789[[#This Row],[Rate]]</f>
        <v>29864.941199999997</v>
      </c>
      <c r="P89" s="9" t="s">
        <v>1818</v>
      </c>
      <c r="Q89" t="s">
        <v>1994</v>
      </c>
    </row>
    <row r="90" spans="1:17" s="15" customFormat="1" hidden="1" x14ac:dyDescent="0.3">
      <c r="A90" s="19">
        <v>45899</v>
      </c>
      <c r="B90" s="19">
        <v>45902</v>
      </c>
      <c r="C90" s="15" t="s">
        <v>22</v>
      </c>
      <c r="D90" s="15" t="s">
        <v>26</v>
      </c>
      <c r="E90" s="15" t="s">
        <v>16</v>
      </c>
      <c r="F90" s="15">
        <v>429563041</v>
      </c>
      <c r="G90" s="15">
        <v>803106726</v>
      </c>
      <c r="H90" s="15">
        <v>44144</v>
      </c>
      <c r="I90" s="15">
        <v>44201</v>
      </c>
      <c r="J90" s="15">
        <f>Table134567891011121323456789[[#This Row],[LOADED LITRES]]-Table134567891011121323456789[[#This Row],[Offloading Litres]]</f>
        <v>-57</v>
      </c>
      <c r="K90" s="15" t="s">
        <v>25</v>
      </c>
      <c r="L90" s="15">
        <v>76135123</v>
      </c>
      <c r="M90" s="15" t="s">
        <v>2004</v>
      </c>
      <c r="N90" s="15">
        <v>0.69389999999999996</v>
      </c>
      <c r="O90" s="21">
        <f>Table134567891011121323456789[[#This Row],[Offloading Litres]]*Table134567891011121323456789[[#This Row],[Rate]]</f>
        <v>30671.073899999999</v>
      </c>
      <c r="P90" s="16" t="s">
        <v>1817</v>
      </c>
      <c r="Q90" s="15" t="s">
        <v>1987</v>
      </c>
    </row>
    <row r="91" spans="1:17" hidden="1" x14ac:dyDescent="0.3">
      <c r="A91" s="7">
        <v>45900</v>
      </c>
      <c r="B91" s="7">
        <v>45901</v>
      </c>
      <c r="C91" t="s">
        <v>28</v>
      </c>
      <c r="D91" t="s">
        <v>33</v>
      </c>
      <c r="E91" t="s">
        <v>40</v>
      </c>
      <c r="F91">
        <v>429744165</v>
      </c>
      <c r="G91">
        <v>803107369</v>
      </c>
      <c r="H91">
        <v>39789</v>
      </c>
      <c r="I91">
        <v>39916</v>
      </c>
      <c r="J91">
        <f>Table134567891011121323456789[[#This Row],[LOADED LITRES]]-Table134567891011121323456789[[#This Row],[Offloading Litres]]</f>
        <v>-127</v>
      </c>
      <c r="K91" t="s">
        <v>32</v>
      </c>
      <c r="L91">
        <v>76135784</v>
      </c>
      <c r="M91" t="s">
        <v>1897</v>
      </c>
      <c r="N91">
        <v>0.75029999999999997</v>
      </c>
      <c r="O91" s="8">
        <f>Table134567891011121323456789[[#This Row],[Offloading Litres]]*Table134567891011121323456789[[#This Row],[Rate]]</f>
        <v>29948.9748</v>
      </c>
      <c r="P91" s="9" t="s">
        <v>1816</v>
      </c>
      <c r="Q91" t="s">
        <v>1984</v>
      </c>
    </row>
    <row r="92" spans="1:17" x14ac:dyDescent="0.3">
      <c r="A92" s="7">
        <v>45900</v>
      </c>
      <c r="B92" s="7">
        <v>45902</v>
      </c>
      <c r="C92" t="s">
        <v>1794</v>
      </c>
      <c r="D92" t="s">
        <v>619</v>
      </c>
      <c r="E92" t="s">
        <v>16</v>
      </c>
      <c r="F92">
        <v>429563285</v>
      </c>
      <c r="G92">
        <v>803107408</v>
      </c>
      <c r="H92">
        <v>39795</v>
      </c>
      <c r="I92">
        <v>39797</v>
      </c>
      <c r="J92">
        <f>Table134567891011121323456789[[#This Row],[LOADED LITRES]]-Table134567891011121323456789[[#This Row],[Offloading Litres]]</f>
        <v>-2</v>
      </c>
      <c r="K92" t="s">
        <v>32</v>
      </c>
      <c r="L92">
        <v>76135816</v>
      </c>
      <c r="M92" t="s">
        <v>1898</v>
      </c>
      <c r="N92">
        <v>0.69389999999999996</v>
      </c>
      <c r="O92" s="8">
        <f>Table134567891011121323456789[[#This Row],[Offloading Litres]]*Table134567891011121323456789[[#This Row],[Rate]]</f>
        <v>27615.138299999999</v>
      </c>
      <c r="P92" s="9" t="s">
        <v>1814</v>
      </c>
      <c r="Q92" t="s">
        <v>1985</v>
      </c>
    </row>
    <row r="93" spans="1:17" hidden="1" x14ac:dyDescent="0.3">
      <c r="A93" s="7">
        <v>45900</v>
      </c>
      <c r="B93" s="7">
        <v>45902</v>
      </c>
      <c r="C93" t="s">
        <v>23</v>
      </c>
      <c r="D93" t="s">
        <v>349</v>
      </c>
      <c r="E93" t="s">
        <v>40</v>
      </c>
      <c r="F93">
        <v>429744166</v>
      </c>
      <c r="G93">
        <v>803107312</v>
      </c>
      <c r="H93">
        <v>39807</v>
      </c>
      <c r="I93">
        <v>39825</v>
      </c>
      <c r="J93">
        <f>Table134567891011121323456789[[#This Row],[LOADED LITRES]]-Table134567891011121323456789[[#This Row],[Offloading Litres]]</f>
        <v>-18</v>
      </c>
      <c r="K93" t="s">
        <v>32</v>
      </c>
      <c r="L93">
        <v>76135718</v>
      </c>
      <c r="M93" t="s">
        <v>1899</v>
      </c>
      <c r="N93">
        <v>0.75029999999999997</v>
      </c>
      <c r="O93" s="8">
        <f>Table134567891011121323456789[[#This Row],[Offloading Litres]]*Table134567891011121323456789[[#This Row],[Rate]]</f>
        <v>29880.697499999998</v>
      </c>
      <c r="P93" s="9" t="s">
        <v>1812</v>
      </c>
      <c r="Q93" t="s">
        <v>1986</v>
      </c>
    </row>
    <row r="94" spans="1:17" hidden="1" x14ac:dyDescent="0.3">
      <c r="A94" s="7">
        <v>45900</v>
      </c>
      <c r="B94" s="7">
        <v>45902</v>
      </c>
      <c r="C94" t="s">
        <v>17</v>
      </c>
      <c r="D94" t="s">
        <v>624</v>
      </c>
      <c r="E94" t="s">
        <v>16</v>
      </c>
      <c r="F94">
        <v>429816526</v>
      </c>
      <c r="G94">
        <v>803107363</v>
      </c>
      <c r="H94">
        <v>44054</v>
      </c>
      <c r="I94">
        <v>44179</v>
      </c>
      <c r="J94">
        <f>Table134567891011121323456789[[#This Row],[LOADED LITRES]]-Table134567891011121323456789[[#This Row],[Offloading Litres]]</f>
        <v>-125</v>
      </c>
      <c r="K94" t="s">
        <v>25</v>
      </c>
      <c r="L94">
        <v>76135780</v>
      </c>
      <c r="M94" t="s">
        <v>1900</v>
      </c>
      <c r="N94">
        <v>0.69389999999999996</v>
      </c>
      <c r="O94" s="8">
        <f>Table134567891011121323456789[[#This Row],[Offloading Litres]]*Table134567891011121323456789[[#This Row],[Rate]]</f>
        <v>30655.808099999998</v>
      </c>
      <c r="P94" s="9" t="s">
        <v>1813</v>
      </c>
      <c r="Q94" t="s">
        <v>1983</v>
      </c>
    </row>
    <row r="95" spans="1:17" hidden="1" x14ac:dyDescent="0.3">
      <c r="A95" s="7">
        <v>45900</v>
      </c>
      <c r="B95" s="7">
        <v>45901</v>
      </c>
      <c r="C95" t="s">
        <v>34</v>
      </c>
      <c r="D95" t="s">
        <v>286</v>
      </c>
      <c r="E95" t="s">
        <v>1811</v>
      </c>
      <c r="F95">
        <v>40204335</v>
      </c>
      <c r="H95">
        <v>38832</v>
      </c>
      <c r="I95">
        <v>38866</v>
      </c>
      <c r="J95">
        <f>Table134567891011121323456789[[#This Row],[LOADED LITRES]]-Table134567891011121323456789[[#This Row],[Offloading Litres]]</f>
        <v>-34</v>
      </c>
      <c r="K95" t="s">
        <v>32</v>
      </c>
      <c r="L95">
        <v>40204335</v>
      </c>
      <c r="M95" t="s">
        <v>1902</v>
      </c>
      <c r="N95">
        <v>0.78</v>
      </c>
      <c r="O95" s="8">
        <f>Table134567891011121323456789[[#This Row],[Offloading Litres]]*Table134567891011121323456789[[#This Row],[Rate]]</f>
        <v>30315.48</v>
      </c>
      <c r="P95" s="9" t="s">
        <v>1819</v>
      </c>
      <c r="Q95" t="s">
        <v>2007</v>
      </c>
    </row>
    <row r="96" spans="1:17" hidden="1" x14ac:dyDescent="0.3">
      <c r="A96" s="7">
        <v>45900</v>
      </c>
      <c r="B96" s="7">
        <v>45902</v>
      </c>
      <c r="C96" t="s">
        <v>103</v>
      </c>
      <c r="D96" t="s">
        <v>97</v>
      </c>
      <c r="E96" t="s">
        <v>16</v>
      </c>
      <c r="F96">
        <v>429816540</v>
      </c>
      <c r="G96">
        <v>803107579</v>
      </c>
      <c r="H96">
        <v>44344</v>
      </c>
      <c r="I96">
        <v>44497</v>
      </c>
      <c r="J96">
        <f>Table134567891011121323456789[[#This Row],[LOADED LITRES]]-Table134567891011121323456789[[#This Row],[Offloading Litres]]</f>
        <v>-153</v>
      </c>
      <c r="K96" t="s">
        <v>25</v>
      </c>
      <c r="L96">
        <v>76135975</v>
      </c>
      <c r="M96" t="s">
        <v>1901</v>
      </c>
      <c r="N96">
        <v>0.69389999999999996</v>
      </c>
      <c r="O96" s="8">
        <f>Table134567891011121323456789[[#This Row],[Offloading Litres]]*Table134567891011121323456789[[#This Row],[Rate]]</f>
        <v>30876.468299999997</v>
      </c>
      <c r="P96" s="9" t="s">
        <v>1815</v>
      </c>
      <c r="Q96" t="s">
        <v>1988</v>
      </c>
    </row>
  </sheetData>
  <phoneticPr fontId="2" type="noConversion"/>
  <conditionalFormatting sqref="F1:G1">
    <cfRule type="duplicateValues" dxfId="12" priority="1"/>
  </conditionalFormatting>
  <conditionalFormatting sqref="G1">
    <cfRule type="duplicateValues" dxfId="11" priority="2"/>
  </conditionalFormatting>
  <conditionalFormatting sqref="L1">
    <cfRule type="duplicateValues" dxfId="10" priority="3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18E86-7A09-4286-A916-C507BE486B4F}">
  <dimension ref="A1:T126"/>
  <sheetViews>
    <sheetView topLeftCell="B85" workbookViewId="0">
      <selection activeCell="P35" sqref="O35:P37"/>
    </sheetView>
  </sheetViews>
  <sheetFormatPr defaultRowHeight="14.4" x14ac:dyDescent="0.3"/>
  <cols>
    <col min="1" max="2" width="13.33203125" customWidth="1"/>
    <col min="3" max="3" width="9.88671875" customWidth="1"/>
    <col min="4" max="4" width="20.33203125" customWidth="1"/>
    <col min="5" max="5" width="22.88671875" customWidth="1"/>
    <col min="6" max="9" width="13.33203125" customWidth="1"/>
    <col min="10" max="10" width="9" customWidth="1"/>
    <col min="11" max="11" width="9.21875" customWidth="1"/>
    <col min="12" max="12" width="11.44140625" customWidth="1"/>
    <col min="13" max="13" width="13.5546875" customWidth="1"/>
    <col min="14" max="14" width="9.44140625" customWidth="1"/>
    <col min="15" max="15" width="10.109375" style="8" customWidth="1"/>
    <col min="16" max="16" width="14.6640625" customWidth="1"/>
    <col min="17" max="17" width="10.6640625" customWidth="1"/>
    <col min="18" max="18" width="14.6640625" customWidth="1"/>
    <col min="19" max="19" width="9.33203125" customWidth="1"/>
  </cols>
  <sheetData>
    <row r="1" spans="1:20" ht="15.6" thickBot="1" x14ac:dyDescent="0.35">
      <c r="A1" s="1" t="s">
        <v>0</v>
      </c>
      <c r="B1" s="1" t="s">
        <v>1</v>
      </c>
      <c r="C1" s="2" t="s">
        <v>38</v>
      </c>
      <c r="D1" s="2" t="s">
        <v>2</v>
      </c>
      <c r="E1" s="2" t="s">
        <v>3</v>
      </c>
      <c r="F1" s="2" t="s">
        <v>37</v>
      </c>
      <c r="G1" s="2" t="s">
        <v>4</v>
      </c>
      <c r="H1" s="2" t="s">
        <v>36</v>
      </c>
      <c r="I1" s="2" t="s">
        <v>5</v>
      </c>
      <c r="J1" s="2" t="s">
        <v>6</v>
      </c>
      <c r="K1" s="2" t="s">
        <v>7</v>
      </c>
      <c r="L1" s="3" t="s">
        <v>8</v>
      </c>
      <c r="M1" s="2" t="s">
        <v>9</v>
      </c>
      <c r="N1" s="2" t="s">
        <v>10</v>
      </c>
      <c r="O1" s="4" t="s">
        <v>11</v>
      </c>
      <c r="P1" s="5" t="s">
        <v>12</v>
      </c>
      <c r="Q1" s="5" t="s">
        <v>18</v>
      </c>
      <c r="R1" s="2" t="s">
        <v>13</v>
      </c>
      <c r="S1" s="6" t="s">
        <v>20</v>
      </c>
      <c r="T1" s="6" t="s">
        <v>14</v>
      </c>
    </row>
    <row r="2" spans="1:20" ht="15" thickTop="1" x14ac:dyDescent="0.3">
      <c r="A2" s="7">
        <v>45901</v>
      </c>
      <c r="B2" s="7">
        <v>45903</v>
      </c>
      <c r="C2" t="s">
        <v>21</v>
      </c>
      <c r="D2" t="s">
        <v>27</v>
      </c>
      <c r="E2" t="s">
        <v>16</v>
      </c>
      <c r="F2">
        <v>429817161</v>
      </c>
      <c r="G2">
        <v>803112745</v>
      </c>
      <c r="H2">
        <v>39335</v>
      </c>
      <c r="I2">
        <v>39348</v>
      </c>
      <c r="J2">
        <f>Table13456789101112132345678910[[#This Row],[LOADED LITRES]]-Table13456789101112132345678910[[#This Row],[Offloading Litres]]</f>
        <v>-13</v>
      </c>
      <c r="K2" t="s">
        <v>32</v>
      </c>
      <c r="L2">
        <v>76136946</v>
      </c>
      <c r="M2" t="s">
        <v>2113</v>
      </c>
      <c r="N2">
        <v>0.69389999999999996</v>
      </c>
      <c r="O2" s="8">
        <f>Table13456789101112132345678910[[#This Row],[Offloading Litres]]*Table13456789101112132345678910[[#This Row],[Rate]]</f>
        <v>27303.5772</v>
      </c>
      <c r="P2" s="9" t="s">
        <v>2031</v>
      </c>
      <c r="Q2" t="s">
        <v>2320</v>
      </c>
    </row>
    <row r="3" spans="1:20" x14ac:dyDescent="0.3">
      <c r="A3" s="7">
        <v>45902</v>
      </c>
      <c r="B3" s="7">
        <v>45903</v>
      </c>
      <c r="C3" t="s">
        <v>28</v>
      </c>
      <c r="D3" t="s">
        <v>33</v>
      </c>
      <c r="E3" t="s">
        <v>16</v>
      </c>
      <c r="F3">
        <v>429563299</v>
      </c>
      <c r="G3">
        <v>803122034</v>
      </c>
      <c r="H3">
        <v>39579</v>
      </c>
      <c r="I3">
        <v>39766</v>
      </c>
      <c r="J3">
        <f>Table13456789101112132345678910[[#This Row],[LOADED LITRES]]-Table13456789101112132345678910[[#This Row],[Offloading Litres]]</f>
        <v>-187</v>
      </c>
      <c r="K3" t="s">
        <v>32</v>
      </c>
      <c r="L3">
        <v>76145379</v>
      </c>
      <c r="M3" t="s">
        <v>2114</v>
      </c>
      <c r="N3">
        <v>0.69389999999999996</v>
      </c>
      <c r="O3" s="8">
        <f>Table13456789101112132345678910[[#This Row],[Offloading Litres]]*Table13456789101112132345678910[[#This Row],[Rate]]</f>
        <v>27593.627399999998</v>
      </c>
      <c r="P3" s="9" t="s">
        <v>2026</v>
      </c>
      <c r="Q3" t="s">
        <v>2323</v>
      </c>
    </row>
    <row r="4" spans="1:20" s="32" customFormat="1" x14ac:dyDescent="0.3">
      <c r="A4" s="31">
        <v>45902</v>
      </c>
      <c r="B4" s="31">
        <v>45903</v>
      </c>
      <c r="C4" s="32" t="s">
        <v>34</v>
      </c>
      <c r="D4" s="32" t="s">
        <v>286</v>
      </c>
      <c r="E4" s="32" t="s">
        <v>2034</v>
      </c>
      <c r="F4" s="32" t="s">
        <v>2035</v>
      </c>
      <c r="G4" s="32" t="s">
        <v>2035</v>
      </c>
      <c r="H4" s="32">
        <v>38842</v>
      </c>
      <c r="I4" s="32">
        <v>39014</v>
      </c>
      <c r="J4" s="32">
        <f>Table13456789101112132345678910[[#This Row],[LOADED LITRES]]-Table13456789101112132345678910[[#This Row],[Offloading Litres]]</f>
        <v>-172</v>
      </c>
      <c r="K4" s="32" t="s">
        <v>32</v>
      </c>
      <c r="L4" s="32" t="s">
        <v>2035</v>
      </c>
      <c r="N4" s="32">
        <v>0.97</v>
      </c>
      <c r="O4" s="33">
        <f>Table13456789101112132345678910[[#This Row],[Offloading Litres]]*Table13456789101112132345678910[[#This Row],[Rate]]</f>
        <v>37843.58</v>
      </c>
      <c r="P4" s="34" t="s">
        <v>2036</v>
      </c>
      <c r="Q4" s="32" t="s">
        <v>2321</v>
      </c>
    </row>
    <row r="5" spans="1:20" x14ac:dyDescent="0.3">
      <c r="A5" s="7">
        <v>45902</v>
      </c>
      <c r="B5" s="7">
        <v>45903</v>
      </c>
      <c r="C5" t="s">
        <v>29</v>
      </c>
      <c r="D5" t="s">
        <v>15</v>
      </c>
      <c r="E5" t="s">
        <v>16</v>
      </c>
      <c r="F5">
        <v>429563064</v>
      </c>
      <c r="G5">
        <v>803118832</v>
      </c>
      <c r="H5">
        <v>44145</v>
      </c>
      <c r="I5">
        <v>44116</v>
      </c>
      <c r="J5">
        <f>Table13456789101112132345678910[[#This Row],[LOADED LITRES]]-Table13456789101112132345678910[[#This Row],[Offloading Litres]]</f>
        <v>29</v>
      </c>
      <c r="K5" t="s">
        <v>25</v>
      </c>
      <c r="L5">
        <v>76141802</v>
      </c>
      <c r="M5" t="s">
        <v>2115</v>
      </c>
      <c r="N5">
        <v>0.69389999999999996</v>
      </c>
      <c r="O5" s="8">
        <f>Table13456789101112132345678910[[#This Row],[Offloading Litres]]*Table13456789101112132345678910[[#This Row],[Rate]]</f>
        <v>30612.092399999998</v>
      </c>
      <c r="P5" s="9" t="s">
        <v>2037</v>
      </c>
      <c r="Q5" t="s">
        <v>2322</v>
      </c>
    </row>
    <row r="6" spans="1:20" x14ac:dyDescent="0.3">
      <c r="A6" s="7">
        <v>45903</v>
      </c>
      <c r="B6" s="7"/>
      <c r="C6" t="s">
        <v>2216</v>
      </c>
      <c r="D6" t="s">
        <v>2217</v>
      </c>
      <c r="E6" t="s">
        <v>2218</v>
      </c>
      <c r="F6">
        <v>429958341</v>
      </c>
      <c r="G6">
        <v>803122894</v>
      </c>
      <c r="H6">
        <v>38990</v>
      </c>
      <c r="I6">
        <v>38990</v>
      </c>
      <c r="J6">
        <f>Table13456789101112132345678910[[#This Row],[LOADED LITRES]]-Table13456789101112132345678910[[#This Row],[Offloading Litres]]</f>
        <v>0</v>
      </c>
      <c r="K6" t="s">
        <v>32</v>
      </c>
      <c r="L6" s="18" t="s">
        <v>2256</v>
      </c>
      <c r="M6" t="s">
        <v>2281</v>
      </c>
      <c r="N6">
        <v>0.57030000000000003</v>
      </c>
      <c r="O6" s="8">
        <f>Table13456789101112132345678910[[#This Row],[Offloading Litres]]*Table13456789101112132345678910[[#This Row],[Rate]]</f>
        <v>22235.996999999999</v>
      </c>
      <c r="P6" s="9" t="s">
        <v>2221</v>
      </c>
    </row>
    <row r="7" spans="1:20" x14ac:dyDescent="0.3">
      <c r="A7" s="7">
        <v>45903</v>
      </c>
      <c r="B7" s="7"/>
      <c r="C7" t="s">
        <v>1603</v>
      </c>
      <c r="D7" t="s">
        <v>2219</v>
      </c>
      <c r="E7" t="s">
        <v>2220</v>
      </c>
      <c r="F7">
        <v>429939607</v>
      </c>
      <c r="G7">
        <v>803122534</v>
      </c>
      <c r="H7">
        <v>41821</v>
      </c>
      <c r="I7">
        <v>41821</v>
      </c>
      <c r="J7">
        <f>Table13456789101112132345678910[[#This Row],[LOADED LITRES]]-Table13456789101112132345678910[[#This Row],[Offloading Litres]]</f>
        <v>0</v>
      </c>
      <c r="K7" t="s">
        <v>236</v>
      </c>
      <c r="L7" s="17" t="s">
        <v>2257</v>
      </c>
      <c r="M7" t="s">
        <v>2282</v>
      </c>
      <c r="N7">
        <v>0.63</v>
      </c>
      <c r="O7" s="8">
        <f>Table13456789101112132345678910[[#This Row],[Offloading Litres]]*Table13456789101112132345678910[[#This Row],[Rate]]</f>
        <v>26347.23</v>
      </c>
      <c r="P7" s="9" t="s">
        <v>2222</v>
      </c>
    </row>
    <row r="8" spans="1:20" x14ac:dyDescent="0.3">
      <c r="A8" s="7">
        <v>45905</v>
      </c>
      <c r="B8" s="7"/>
      <c r="C8" t="s">
        <v>1588</v>
      </c>
      <c r="D8" t="s">
        <v>2223</v>
      </c>
      <c r="E8" t="s">
        <v>2224</v>
      </c>
      <c r="F8">
        <v>430089252</v>
      </c>
      <c r="G8">
        <v>803135652</v>
      </c>
      <c r="H8">
        <v>38763</v>
      </c>
      <c r="I8">
        <v>38763</v>
      </c>
      <c r="J8">
        <f>Table13456789101112132345678910[[#This Row],[LOADED LITRES]]-Table13456789101112132345678910[[#This Row],[Offloading Litres]]</f>
        <v>0</v>
      </c>
      <c r="K8" t="s">
        <v>32</v>
      </c>
      <c r="L8" s="17" t="s">
        <v>2258</v>
      </c>
      <c r="M8" t="s">
        <v>2283</v>
      </c>
      <c r="N8">
        <v>0.56769999999999998</v>
      </c>
      <c r="O8" s="8">
        <f>Table13456789101112132345678910[[#This Row],[Offloading Litres]]*Table13456789101112132345678910[[#This Row],[Rate]]</f>
        <v>22005.755099999998</v>
      </c>
      <c r="P8" s="9" t="s">
        <v>2225</v>
      </c>
      <c r="Q8" t="s">
        <v>2418</v>
      </c>
    </row>
    <row r="9" spans="1:20" x14ac:dyDescent="0.3">
      <c r="A9" s="7">
        <v>45903</v>
      </c>
      <c r="B9" s="7"/>
      <c r="C9" t="s">
        <v>2227</v>
      </c>
      <c r="D9" t="s">
        <v>2228</v>
      </c>
      <c r="E9" t="s">
        <v>2224</v>
      </c>
      <c r="F9">
        <v>429939268</v>
      </c>
      <c r="G9">
        <v>803125101</v>
      </c>
      <c r="H9">
        <v>39774</v>
      </c>
      <c r="I9">
        <v>39774</v>
      </c>
      <c r="J9">
        <f>Table13456789101112132345678910[[#This Row],[LOADED LITRES]]-Table13456789101112132345678910[[#This Row],[Offloading Litres]]</f>
        <v>0</v>
      </c>
      <c r="K9" t="s">
        <v>32</v>
      </c>
      <c r="L9" s="17" t="s">
        <v>2285</v>
      </c>
      <c r="M9" t="s">
        <v>2284</v>
      </c>
      <c r="N9">
        <v>0.56769999999999998</v>
      </c>
      <c r="O9" s="8">
        <f>Table13456789101112132345678910[[#This Row],[Offloading Litres]]*Table13456789101112132345678910[[#This Row],[Rate]]</f>
        <v>22579.699799999999</v>
      </c>
      <c r="P9" s="9" t="s">
        <v>2229</v>
      </c>
      <c r="Q9" t="s">
        <v>2325</v>
      </c>
    </row>
    <row r="10" spans="1:20" x14ac:dyDescent="0.3">
      <c r="A10" s="7">
        <v>45903</v>
      </c>
      <c r="B10" s="7"/>
      <c r="C10" t="s">
        <v>1593</v>
      </c>
      <c r="D10" t="s">
        <v>1594</v>
      </c>
      <c r="E10" t="s">
        <v>2224</v>
      </c>
      <c r="F10">
        <v>429939247</v>
      </c>
      <c r="G10">
        <v>803122872</v>
      </c>
      <c r="H10">
        <v>38802</v>
      </c>
      <c r="I10">
        <v>38802</v>
      </c>
      <c r="J10">
        <f>Table13456789101112132345678910[[#This Row],[LOADED LITRES]]-Table13456789101112132345678910[[#This Row],[Offloading Litres]]</f>
        <v>0</v>
      </c>
      <c r="K10" t="s">
        <v>32</v>
      </c>
      <c r="L10" s="17" t="s">
        <v>2259</v>
      </c>
      <c r="M10" t="s">
        <v>2286</v>
      </c>
      <c r="N10">
        <v>0.56769999999999998</v>
      </c>
      <c r="O10" s="8">
        <f>Table13456789101112132345678910[[#This Row],[Offloading Litres]]*Table13456789101112132345678910[[#This Row],[Rate]]</f>
        <v>22027.895399999998</v>
      </c>
      <c r="P10" s="9" t="s">
        <v>2226</v>
      </c>
      <c r="Q10" t="s">
        <v>2327</v>
      </c>
    </row>
    <row r="11" spans="1:20" x14ac:dyDescent="0.3">
      <c r="A11" s="7">
        <v>45905</v>
      </c>
      <c r="B11" s="7"/>
      <c r="C11" t="s">
        <v>1600</v>
      </c>
      <c r="D11" t="s">
        <v>2273</v>
      </c>
      <c r="E11" t="s">
        <v>2274</v>
      </c>
      <c r="F11" s="36" t="s">
        <v>2276</v>
      </c>
      <c r="G11">
        <v>803131579</v>
      </c>
      <c r="H11">
        <v>39776</v>
      </c>
      <c r="I11">
        <v>39776</v>
      </c>
      <c r="J11">
        <f>Table13456789101112132345678910[[#This Row],[LOADED LITRES]]-Table13456789101112132345678910[[#This Row],[Offloading Litres]]</f>
        <v>0</v>
      </c>
      <c r="K11" t="s">
        <v>236</v>
      </c>
      <c r="L11" s="17" t="s">
        <v>2278</v>
      </c>
      <c r="M11" t="s">
        <v>2287</v>
      </c>
      <c r="N11">
        <v>0.50409999999999999</v>
      </c>
      <c r="O11" s="8">
        <f>Table13456789101112132345678910[[#This Row],[Offloading Litres]]*Table13456789101112132345678910[[#This Row],[Rate]]</f>
        <v>20051.081600000001</v>
      </c>
      <c r="P11" s="9" t="s">
        <v>2279</v>
      </c>
    </row>
    <row r="12" spans="1:20" x14ac:dyDescent="0.3">
      <c r="A12" s="7">
        <v>45905</v>
      </c>
      <c r="B12" s="7"/>
      <c r="C12" t="s">
        <v>2230</v>
      </c>
      <c r="D12" t="s">
        <v>2231</v>
      </c>
      <c r="E12" t="s">
        <v>2224</v>
      </c>
      <c r="F12">
        <v>430054626</v>
      </c>
      <c r="G12">
        <v>803132096</v>
      </c>
      <c r="H12">
        <v>39770</v>
      </c>
      <c r="I12">
        <v>39770</v>
      </c>
      <c r="J12">
        <f>Table13456789101112132345678910[[#This Row],[LOADED LITRES]]-Table13456789101112132345678910[[#This Row],[Offloading Litres]]</f>
        <v>0</v>
      </c>
      <c r="K12" t="s">
        <v>32</v>
      </c>
      <c r="L12" s="17" t="s">
        <v>2260</v>
      </c>
      <c r="M12" t="s">
        <v>2288</v>
      </c>
      <c r="N12">
        <v>0.56769999999999998</v>
      </c>
      <c r="O12" s="8">
        <f>Table13456789101112132345678910[[#This Row],[Offloading Litres]]*Table13456789101112132345678910[[#This Row],[Rate]]</f>
        <v>22577.429</v>
      </c>
      <c r="P12" s="9" t="s">
        <v>2232</v>
      </c>
      <c r="Q12" t="s">
        <v>2419</v>
      </c>
    </row>
    <row r="13" spans="1:20" x14ac:dyDescent="0.3">
      <c r="A13" s="7">
        <v>45903</v>
      </c>
      <c r="B13" s="7"/>
      <c r="C13" t="s">
        <v>2233</v>
      </c>
      <c r="D13" t="s">
        <v>1589</v>
      </c>
      <c r="E13" t="s">
        <v>2224</v>
      </c>
      <c r="F13">
        <v>430054435</v>
      </c>
      <c r="G13">
        <v>803132100</v>
      </c>
      <c r="H13">
        <v>39764</v>
      </c>
      <c r="I13">
        <v>39764</v>
      </c>
      <c r="J13">
        <f>Table13456789101112132345678910[[#This Row],[LOADED LITRES]]-Table13456789101112132345678910[[#This Row],[Offloading Litres]]</f>
        <v>0</v>
      </c>
      <c r="K13" t="s">
        <v>32</v>
      </c>
      <c r="L13" s="18" t="s">
        <v>2261</v>
      </c>
      <c r="M13" t="s">
        <v>2289</v>
      </c>
      <c r="N13">
        <v>0.56769999999999998</v>
      </c>
      <c r="O13" s="8">
        <f>Table13456789101112132345678910[[#This Row],[Offloading Litres]]*Table13456789101112132345678910[[#This Row],[Rate]]</f>
        <v>22574.022799999999</v>
      </c>
      <c r="P13" s="9" t="s">
        <v>2234</v>
      </c>
      <c r="Q13" t="s">
        <v>2420</v>
      </c>
    </row>
    <row r="14" spans="1:20" x14ac:dyDescent="0.3">
      <c r="A14" s="7">
        <v>45903</v>
      </c>
      <c r="B14" s="7"/>
      <c r="C14" t="s">
        <v>2235</v>
      </c>
      <c r="D14" t="s">
        <v>2236</v>
      </c>
      <c r="E14" t="s">
        <v>2247</v>
      </c>
      <c r="F14">
        <v>429957521</v>
      </c>
      <c r="G14">
        <v>803123434</v>
      </c>
      <c r="H14">
        <v>39768</v>
      </c>
      <c r="I14">
        <v>39768</v>
      </c>
      <c r="J14">
        <f>Table13456789101112132345678910[[#This Row],[LOADED LITRES]]-Table13456789101112132345678910[[#This Row],[Offloading Litres]]</f>
        <v>0</v>
      </c>
      <c r="K14" t="s">
        <v>32</v>
      </c>
      <c r="L14" s="17" t="s">
        <v>2262</v>
      </c>
      <c r="M14" t="s">
        <v>2290</v>
      </c>
      <c r="N14">
        <v>0.72289999999999999</v>
      </c>
      <c r="O14" s="8">
        <f>Table13456789101112132345678910[[#This Row],[Offloading Litres]]*Table13456789101112132345678910[[#This Row],[Rate]]</f>
        <v>28748.287199999999</v>
      </c>
      <c r="P14" s="9" t="s">
        <v>2237</v>
      </c>
      <c r="Q14" t="s">
        <v>2331</v>
      </c>
    </row>
    <row r="15" spans="1:20" x14ac:dyDescent="0.3">
      <c r="A15" s="7">
        <v>45909</v>
      </c>
      <c r="B15" s="7"/>
      <c r="C15" t="s">
        <v>2238</v>
      </c>
      <c r="D15" t="s">
        <v>2239</v>
      </c>
      <c r="E15" t="s">
        <v>2248</v>
      </c>
      <c r="F15">
        <v>430174851</v>
      </c>
      <c r="G15">
        <v>803145178</v>
      </c>
      <c r="H15">
        <v>40738</v>
      </c>
      <c r="I15">
        <v>40738</v>
      </c>
      <c r="J15">
        <f>Table13456789101112132345678910[[#This Row],[LOADED LITRES]]-Table13456789101112132345678910[[#This Row],[Offloading Litres]]</f>
        <v>0</v>
      </c>
      <c r="K15" t="s">
        <v>236</v>
      </c>
      <c r="L15" s="17" t="s">
        <v>2263</v>
      </c>
      <c r="M15" t="s">
        <v>2291</v>
      </c>
      <c r="N15">
        <v>0.62119999999999997</v>
      </c>
      <c r="O15" s="8">
        <f>Table13456789101112132345678910[[#This Row],[Offloading Litres]]*Table13456789101112132345678910[[#This Row],[Rate]]</f>
        <v>25306.445599999999</v>
      </c>
      <c r="P15" s="9" t="s">
        <v>2240</v>
      </c>
    </row>
    <row r="16" spans="1:20" x14ac:dyDescent="0.3">
      <c r="A16" s="7">
        <v>45908</v>
      </c>
      <c r="B16" s="7"/>
      <c r="C16" t="s">
        <v>2233</v>
      </c>
      <c r="D16" t="s">
        <v>1589</v>
      </c>
      <c r="E16" t="s">
        <v>2224</v>
      </c>
      <c r="F16">
        <v>430174969</v>
      </c>
      <c r="G16">
        <v>803143438</v>
      </c>
      <c r="H16">
        <v>39727</v>
      </c>
      <c r="I16">
        <v>39727</v>
      </c>
      <c r="J16">
        <f>Table13456789101112132345678910[[#This Row],[LOADED LITRES]]-Table13456789101112132345678910[[#This Row],[Offloading Litres]]</f>
        <v>0</v>
      </c>
      <c r="K16" t="s">
        <v>32</v>
      </c>
      <c r="L16" s="17" t="s">
        <v>2264</v>
      </c>
      <c r="M16" t="s">
        <v>2292</v>
      </c>
      <c r="N16">
        <v>0.56769999999999998</v>
      </c>
      <c r="O16" s="8">
        <f>Table13456789101112132345678910[[#This Row],[Offloading Litres]]*Table13456789101112132345678910[[#This Row],[Rate]]</f>
        <v>22553.017899999999</v>
      </c>
      <c r="P16" s="9" t="s">
        <v>2241</v>
      </c>
      <c r="Q16" t="s">
        <v>2417</v>
      </c>
    </row>
    <row r="17" spans="1:17" x14ac:dyDescent="0.3">
      <c r="A17" s="7">
        <v>45908</v>
      </c>
      <c r="B17" s="7"/>
      <c r="C17" t="s">
        <v>2230</v>
      </c>
      <c r="D17" t="s">
        <v>2231</v>
      </c>
      <c r="E17" t="s">
        <v>2224</v>
      </c>
      <c r="F17" s="17">
        <v>430175160</v>
      </c>
      <c r="G17">
        <v>803143442</v>
      </c>
      <c r="H17">
        <v>39796</v>
      </c>
      <c r="I17">
        <v>39796</v>
      </c>
      <c r="J17">
        <f>Table13456789101112132345678910[[#This Row],[LOADED LITRES]]-Table13456789101112132345678910[[#This Row],[Offloading Litres]]</f>
        <v>0</v>
      </c>
      <c r="K17" t="s">
        <v>32</v>
      </c>
      <c r="L17" s="17" t="s">
        <v>2275</v>
      </c>
      <c r="M17" t="s">
        <v>2293</v>
      </c>
      <c r="N17">
        <v>0.56769999999999998</v>
      </c>
      <c r="O17" s="8">
        <f>Table13456789101112132345678910[[#This Row],[Offloading Litres]]*Table13456789101112132345678910[[#This Row],[Rate]]</f>
        <v>22592.189200000001</v>
      </c>
      <c r="P17" s="9" t="s">
        <v>2277</v>
      </c>
      <c r="Q17" t="s">
        <v>2314</v>
      </c>
    </row>
    <row r="18" spans="1:17" x14ac:dyDescent="0.3">
      <c r="A18" s="7">
        <v>45910</v>
      </c>
      <c r="B18" s="7"/>
      <c r="C18" t="s">
        <v>1588</v>
      </c>
      <c r="D18" t="s">
        <v>2242</v>
      </c>
      <c r="E18" t="s">
        <v>2224</v>
      </c>
      <c r="F18">
        <v>430218783</v>
      </c>
      <c r="G18">
        <v>803152238</v>
      </c>
      <c r="H18">
        <v>38713</v>
      </c>
      <c r="I18">
        <v>38713</v>
      </c>
      <c r="J18">
        <f>Table13456789101112132345678910[[#This Row],[LOADED LITRES]]-Table13456789101112132345678910[[#This Row],[Offloading Litres]]</f>
        <v>0</v>
      </c>
      <c r="K18" t="s">
        <v>32</v>
      </c>
      <c r="L18" s="17" t="s">
        <v>2265</v>
      </c>
      <c r="M18" t="s">
        <v>2294</v>
      </c>
      <c r="N18">
        <v>0.56769999999999998</v>
      </c>
      <c r="O18" s="8">
        <f>Table13456789101112132345678910[[#This Row],[Offloading Litres]]*Table13456789101112132345678910[[#This Row],[Rate]]</f>
        <v>21977.3701</v>
      </c>
      <c r="P18" s="9" t="s">
        <v>2243</v>
      </c>
      <c r="Q18" t="s">
        <v>2356</v>
      </c>
    </row>
    <row r="19" spans="1:17" x14ac:dyDescent="0.3">
      <c r="A19" s="7">
        <v>45910</v>
      </c>
      <c r="B19" s="7"/>
      <c r="C19" t="s">
        <v>2230</v>
      </c>
      <c r="D19" t="s">
        <v>2231</v>
      </c>
      <c r="E19" t="s">
        <v>2224</v>
      </c>
      <c r="F19">
        <v>430218805</v>
      </c>
      <c r="G19">
        <v>803152612</v>
      </c>
      <c r="H19">
        <v>39702</v>
      </c>
      <c r="I19">
        <v>39702</v>
      </c>
      <c r="J19">
        <f>Table13456789101112132345678910[[#This Row],[LOADED LITRES]]-Table13456789101112132345678910[[#This Row],[Offloading Litres]]</f>
        <v>0</v>
      </c>
      <c r="K19" t="s">
        <v>32</v>
      </c>
      <c r="L19" s="17" t="s">
        <v>2266</v>
      </c>
      <c r="M19" t="s">
        <v>2295</v>
      </c>
      <c r="N19">
        <v>0.56769999999999998</v>
      </c>
      <c r="O19" s="8">
        <f>Table13456789101112132345678910[[#This Row],[Offloading Litres]]*Table13456789101112132345678910[[#This Row],[Rate]]</f>
        <v>22538.825399999998</v>
      </c>
      <c r="P19" s="9" t="s">
        <v>2244</v>
      </c>
      <c r="Q19" t="s">
        <v>2355</v>
      </c>
    </row>
    <row r="20" spans="1:17" x14ac:dyDescent="0.3">
      <c r="A20" s="7">
        <v>45915</v>
      </c>
      <c r="B20" s="7"/>
      <c r="C20" t="s">
        <v>1666</v>
      </c>
      <c r="D20" t="s">
        <v>2245</v>
      </c>
      <c r="E20" t="s">
        <v>2224</v>
      </c>
      <c r="F20">
        <v>430297335</v>
      </c>
      <c r="G20">
        <v>803168509</v>
      </c>
      <c r="H20">
        <v>39782</v>
      </c>
      <c r="I20">
        <v>39782</v>
      </c>
      <c r="J20">
        <f>Table13456789101112132345678910[[#This Row],[LOADED LITRES]]-Table13456789101112132345678910[[#This Row],[Offloading Litres]]</f>
        <v>0</v>
      </c>
      <c r="K20" t="s">
        <v>32</v>
      </c>
      <c r="L20" s="18" t="s">
        <v>2267</v>
      </c>
      <c r="M20" t="s">
        <v>2296</v>
      </c>
      <c r="N20">
        <v>0.56769999999999998</v>
      </c>
      <c r="O20" s="8">
        <f>Table13456789101112132345678910[[#This Row],[Offloading Litres]]*Table13456789101112132345678910[[#This Row],[Rate]]</f>
        <v>22584.241399999999</v>
      </c>
      <c r="P20" s="9" t="s">
        <v>2246</v>
      </c>
    </row>
    <row r="21" spans="1:17" x14ac:dyDescent="0.3">
      <c r="A21" s="7">
        <v>45918</v>
      </c>
      <c r="B21" s="7"/>
      <c r="C21" t="s">
        <v>2227</v>
      </c>
      <c r="D21" t="s">
        <v>2228</v>
      </c>
      <c r="E21" t="s">
        <v>2224</v>
      </c>
      <c r="F21">
        <v>430520932</v>
      </c>
      <c r="G21">
        <v>803184766</v>
      </c>
      <c r="H21">
        <v>39724</v>
      </c>
      <c r="I21">
        <v>39724</v>
      </c>
      <c r="J21">
        <f>Table13456789101112132345678910[[#This Row],[LOADED LITRES]]-Table13456789101112132345678910[[#This Row],[Offloading Litres]]</f>
        <v>0</v>
      </c>
      <c r="K21" t="s">
        <v>32</v>
      </c>
      <c r="L21" s="17" t="s">
        <v>2268</v>
      </c>
      <c r="M21" t="s">
        <v>2297</v>
      </c>
      <c r="N21">
        <v>0.56769999999999998</v>
      </c>
      <c r="O21" s="8">
        <f>Table13456789101112132345678910[[#This Row],[Offloading Litres]]*Table13456789101112132345678910[[#This Row],[Rate]]</f>
        <v>22551.3148</v>
      </c>
      <c r="P21" s="9" t="s">
        <v>2249</v>
      </c>
      <c r="Q21" t="s">
        <v>2382</v>
      </c>
    </row>
    <row r="22" spans="1:17" x14ac:dyDescent="0.3">
      <c r="A22" s="7">
        <v>45922</v>
      </c>
      <c r="B22" s="7"/>
      <c r="C22" t="s">
        <v>2233</v>
      </c>
      <c r="D22" t="s">
        <v>1589</v>
      </c>
      <c r="E22" t="s">
        <v>2224</v>
      </c>
      <c r="F22">
        <v>430642312</v>
      </c>
      <c r="G22">
        <v>803200383</v>
      </c>
      <c r="H22">
        <v>39831</v>
      </c>
      <c r="I22">
        <v>39831</v>
      </c>
      <c r="J22">
        <f>Table13456789101112132345678910[[#This Row],[LOADED LITRES]]-Table13456789101112132345678910[[#This Row],[Offloading Litres]]</f>
        <v>0</v>
      </c>
      <c r="K22" t="s">
        <v>32</v>
      </c>
      <c r="L22" s="17" t="s">
        <v>2269</v>
      </c>
      <c r="M22" t="s">
        <v>2298</v>
      </c>
      <c r="N22">
        <v>0.56769999999999998</v>
      </c>
      <c r="O22" s="8">
        <f>Table13456789101112132345678910[[#This Row],[Offloading Litres]]*Table13456789101112132345678910[[#This Row],[Rate]]</f>
        <v>22612.058699999998</v>
      </c>
      <c r="P22" s="9" t="s">
        <v>2250</v>
      </c>
      <c r="Q22" t="s">
        <v>2412</v>
      </c>
    </row>
    <row r="23" spans="1:17" x14ac:dyDescent="0.3">
      <c r="A23" s="7">
        <v>45922</v>
      </c>
      <c r="B23" s="7"/>
      <c r="C23" t="s">
        <v>2251</v>
      </c>
      <c r="D23" t="s">
        <v>2252</v>
      </c>
      <c r="E23" t="s">
        <v>2224</v>
      </c>
      <c r="F23">
        <v>430650915</v>
      </c>
      <c r="G23">
        <v>803200320</v>
      </c>
      <c r="H23">
        <v>38859</v>
      </c>
      <c r="I23">
        <v>38859</v>
      </c>
      <c r="J23">
        <f>Table13456789101112132345678910[[#This Row],[LOADED LITRES]]-Table13456789101112132345678910[[#This Row],[Offloading Litres]]</f>
        <v>0</v>
      </c>
      <c r="K23" t="s">
        <v>32</v>
      </c>
      <c r="L23" s="17" t="s">
        <v>2270</v>
      </c>
      <c r="M23" t="s">
        <v>2299</v>
      </c>
      <c r="N23">
        <v>0.56769999999999998</v>
      </c>
      <c r="O23" s="8">
        <f>Table13456789101112132345678910[[#This Row],[Offloading Litres]]*Table13456789101112132345678910[[#This Row],[Rate]]</f>
        <v>22060.254300000001</v>
      </c>
      <c r="P23" s="9" t="s">
        <v>2253</v>
      </c>
      <c r="Q23" t="s">
        <v>2413</v>
      </c>
    </row>
    <row r="24" spans="1:17" x14ac:dyDescent="0.3">
      <c r="A24" s="7">
        <v>45921</v>
      </c>
      <c r="B24" s="7"/>
      <c r="C24" t="s">
        <v>2251</v>
      </c>
      <c r="D24" t="s">
        <v>2252</v>
      </c>
      <c r="E24" t="s">
        <v>2224</v>
      </c>
      <c r="F24">
        <v>430574876</v>
      </c>
      <c r="G24">
        <v>803194816</v>
      </c>
      <c r="H24">
        <v>38823</v>
      </c>
      <c r="I24">
        <v>38823</v>
      </c>
      <c r="J24">
        <f>Table13456789101112132345678910[[#This Row],[LOADED LITRES]]-Table13456789101112132345678910[[#This Row],[Offloading Litres]]</f>
        <v>0</v>
      </c>
      <c r="K24" t="s">
        <v>32</v>
      </c>
      <c r="L24" s="17" t="s">
        <v>2271</v>
      </c>
      <c r="M24" t="s">
        <v>2300</v>
      </c>
      <c r="N24">
        <v>0.56769999999999998</v>
      </c>
      <c r="O24" s="8">
        <f>Table13456789101112132345678910[[#This Row],[Offloading Litres]]*Table13456789101112132345678910[[#This Row],[Rate]]</f>
        <v>22039.8171</v>
      </c>
      <c r="P24" s="9" t="s">
        <v>2254</v>
      </c>
      <c r="Q24" t="s">
        <v>2414</v>
      </c>
    </row>
    <row r="25" spans="1:17" x14ac:dyDescent="0.3">
      <c r="A25" s="7">
        <v>45929</v>
      </c>
      <c r="B25" s="7"/>
      <c r="C25" t="s">
        <v>2251</v>
      </c>
      <c r="D25" t="s">
        <v>2252</v>
      </c>
      <c r="E25" t="s">
        <v>2224</v>
      </c>
      <c r="F25">
        <v>430855718</v>
      </c>
      <c r="G25">
        <v>803235178</v>
      </c>
      <c r="H25">
        <v>39905</v>
      </c>
      <c r="I25">
        <v>39905</v>
      </c>
      <c r="J25">
        <f>Table13456789101112132345678910[[#This Row],[LOADED LITRES]]-Table13456789101112132345678910[[#This Row],[Offloading Litres]]</f>
        <v>0</v>
      </c>
      <c r="K25" t="s">
        <v>32</v>
      </c>
      <c r="L25" s="18" t="s">
        <v>2272</v>
      </c>
      <c r="M25" t="s">
        <v>2301</v>
      </c>
      <c r="N25">
        <v>0.56769999999999998</v>
      </c>
      <c r="O25" s="8">
        <f>Table13456789101112132345678910[[#This Row],[Offloading Litres]]*Table13456789101112132345678910[[#This Row],[Rate]]</f>
        <v>22654.068499999998</v>
      </c>
      <c r="P25" s="9" t="s">
        <v>2255</v>
      </c>
      <c r="Q25" t="s">
        <v>2408</v>
      </c>
    </row>
    <row r="26" spans="1:17" x14ac:dyDescent="0.3">
      <c r="A26" s="7">
        <v>45903</v>
      </c>
      <c r="B26" s="7">
        <v>45903</v>
      </c>
      <c r="C26" t="s">
        <v>103</v>
      </c>
      <c r="D26" t="s">
        <v>39</v>
      </c>
      <c r="E26" t="s">
        <v>16</v>
      </c>
      <c r="F26">
        <v>429817181</v>
      </c>
      <c r="G26">
        <v>803122425</v>
      </c>
      <c r="H26">
        <v>39308</v>
      </c>
      <c r="I26">
        <v>39615</v>
      </c>
      <c r="J26">
        <f>Table13456789101112132345678910[[#This Row],[LOADED LITRES]]-Table13456789101112132345678910[[#This Row],[Offloading Litres]]</f>
        <v>-307</v>
      </c>
      <c r="K26" t="s">
        <v>32</v>
      </c>
      <c r="L26">
        <v>76145677</v>
      </c>
      <c r="M26" t="s">
        <v>2116</v>
      </c>
      <c r="N26">
        <v>0.69389999999999996</v>
      </c>
      <c r="O26" s="8">
        <f>Table13456789101112132345678910[[#This Row],[Offloading Litres]]*Table13456789101112132345678910[[#This Row],[Rate]]</f>
        <v>27488.8485</v>
      </c>
      <c r="P26" s="9" t="s">
        <v>2027</v>
      </c>
      <c r="Q26" t="s">
        <v>2328</v>
      </c>
    </row>
    <row r="27" spans="1:17" x14ac:dyDescent="0.3">
      <c r="A27" s="7">
        <v>45903</v>
      </c>
      <c r="B27" s="7">
        <v>45905</v>
      </c>
      <c r="C27" t="s">
        <v>1794</v>
      </c>
      <c r="D27" t="s">
        <v>35</v>
      </c>
      <c r="E27" t="s">
        <v>16</v>
      </c>
      <c r="F27">
        <v>429816584</v>
      </c>
      <c r="G27">
        <v>803126328</v>
      </c>
      <c r="H27">
        <v>44890</v>
      </c>
      <c r="I27">
        <v>44579</v>
      </c>
      <c r="J27">
        <f>Table13456789101112132345678910[[#This Row],[LOADED LITRES]]-Table13456789101112132345678910[[#This Row],[Offloading Litres]]</f>
        <v>311</v>
      </c>
      <c r="K27" t="s">
        <v>25</v>
      </c>
      <c r="L27">
        <v>76150455</v>
      </c>
      <c r="M27" t="s">
        <v>2117</v>
      </c>
      <c r="N27">
        <v>0.69389999999999996</v>
      </c>
      <c r="O27" s="8">
        <f>Table13456789101112132345678910[[#This Row],[Offloading Litres]]*Table13456789101112132345678910[[#This Row],[Rate]]</f>
        <v>30933.3681</v>
      </c>
      <c r="P27" s="9" t="s">
        <v>2030</v>
      </c>
      <c r="Q27" t="s">
        <v>2329</v>
      </c>
    </row>
    <row r="28" spans="1:17" x14ac:dyDescent="0.3">
      <c r="A28" s="7">
        <v>45903</v>
      </c>
      <c r="B28" s="7">
        <v>45904</v>
      </c>
      <c r="C28" t="s">
        <v>23</v>
      </c>
      <c r="D28" t="s">
        <v>349</v>
      </c>
      <c r="E28" t="s">
        <v>16</v>
      </c>
      <c r="F28">
        <v>429816573</v>
      </c>
      <c r="G28">
        <v>803125791</v>
      </c>
      <c r="H28">
        <v>43970</v>
      </c>
      <c r="I28">
        <v>44086</v>
      </c>
      <c r="J28">
        <f>Table13456789101112132345678910[[#This Row],[LOADED LITRES]]-Table13456789101112132345678910[[#This Row],[Offloading Litres]]</f>
        <v>-116</v>
      </c>
      <c r="K28" t="s">
        <v>25</v>
      </c>
      <c r="L28">
        <v>76149649</v>
      </c>
      <c r="M28" t="s">
        <v>2118</v>
      </c>
      <c r="N28">
        <v>0.69389999999999996</v>
      </c>
      <c r="O28" s="8">
        <f>Table13456789101112132345678910[[#This Row],[Offloading Litres]]*Table13456789101112132345678910[[#This Row],[Rate]]</f>
        <v>30591.275399999999</v>
      </c>
      <c r="P28" s="9" t="s">
        <v>2032</v>
      </c>
      <c r="Q28" t="s">
        <v>2326</v>
      </c>
    </row>
    <row r="29" spans="1:17" x14ac:dyDescent="0.3">
      <c r="A29" s="7">
        <v>45903</v>
      </c>
      <c r="B29" s="7">
        <v>45904</v>
      </c>
      <c r="C29" t="s">
        <v>17</v>
      </c>
      <c r="D29" t="s">
        <v>624</v>
      </c>
      <c r="E29" t="s">
        <v>16</v>
      </c>
      <c r="F29">
        <v>429816595</v>
      </c>
      <c r="G29">
        <v>803126270</v>
      </c>
      <c r="H29">
        <v>43993</v>
      </c>
      <c r="I29">
        <v>44172</v>
      </c>
      <c r="J29">
        <f>Table13456789101112132345678910[[#This Row],[LOADED LITRES]]-Table13456789101112132345678910[[#This Row],[Offloading Litres]]</f>
        <v>-179</v>
      </c>
      <c r="K29" t="s">
        <v>25</v>
      </c>
      <c r="L29">
        <v>76150378</v>
      </c>
      <c r="M29" t="s">
        <v>2119</v>
      </c>
      <c r="N29">
        <v>0.69389999999999996</v>
      </c>
      <c r="O29" s="8">
        <f>Table13456789101112132345678910[[#This Row],[Offloading Litres]]*Table13456789101112132345678910[[#This Row],[Rate]]</f>
        <v>30650.950799999999</v>
      </c>
      <c r="P29" s="9" t="s">
        <v>2038</v>
      </c>
      <c r="Q29" t="s">
        <v>2324</v>
      </c>
    </row>
    <row r="30" spans="1:17" x14ac:dyDescent="0.3">
      <c r="A30" s="7">
        <v>45903</v>
      </c>
      <c r="B30" s="7">
        <v>45905</v>
      </c>
      <c r="C30" t="s">
        <v>30</v>
      </c>
      <c r="D30" t="s">
        <v>19</v>
      </c>
      <c r="E30" t="s">
        <v>16</v>
      </c>
      <c r="F30">
        <v>429817187</v>
      </c>
      <c r="G30">
        <v>803126333</v>
      </c>
      <c r="H30">
        <v>38811</v>
      </c>
      <c r="I30">
        <v>38809</v>
      </c>
      <c r="J30">
        <f>Table13456789101112132345678910[[#This Row],[LOADED LITRES]]-Table13456789101112132345678910[[#This Row],[Offloading Litres]]</f>
        <v>2</v>
      </c>
      <c r="K30" t="s">
        <v>32</v>
      </c>
      <c r="L30">
        <v>76150459</v>
      </c>
      <c r="M30" t="s">
        <v>2120</v>
      </c>
      <c r="N30">
        <v>0.69389999999999996</v>
      </c>
      <c r="O30" s="8">
        <f>Table13456789101112132345678910[[#This Row],[Offloading Litres]]*Table13456789101112132345678910[[#This Row],[Rate]]</f>
        <v>26929.5651</v>
      </c>
      <c r="P30" s="9" t="s">
        <v>2039</v>
      </c>
      <c r="Q30" t="s">
        <v>2330</v>
      </c>
    </row>
    <row r="31" spans="1:17" x14ac:dyDescent="0.3">
      <c r="A31" s="7">
        <v>45904</v>
      </c>
      <c r="B31" s="7">
        <v>45905</v>
      </c>
      <c r="C31" t="s">
        <v>28</v>
      </c>
      <c r="D31" t="s">
        <v>33</v>
      </c>
      <c r="E31" t="s">
        <v>617</v>
      </c>
      <c r="F31">
        <v>430061057</v>
      </c>
      <c r="G31">
        <v>803131334</v>
      </c>
      <c r="H31">
        <v>44337</v>
      </c>
      <c r="I31">
        <v>44562</v>
      </c>
      <c r="J31">
        <f>Table13456789101112132345678910[[#This Row],[LOADED LITRES]]-Table13456789101112132345678910[[#This Row],[Offloading Litres]]</f>
        <v>-225</v>
      </c>
      <c r="K31" t="s">
        <v>25</v>
      </c>
      <c r="L31">
        <v>76155972</v>
      </c>
      <c r="M31" t="s">
        <v>2121</v>
      </c>
      <c r="N31">
        <v>0.69330000000000003</v>
      </c>
      <c r="O31" s="8">
        <f>Table13456789101112132345678910[[#This Row],[Offloading Litres]]*Table13456789101112132345678910[[#This Row],[Rate]]</f>
        <v>30894.834600000002</v>
      </c>
      <c r="P31" s="9" t="s">
        <v>2028</v>
      </c>
      <c r="Q31" t="s">
        <v>2333</v>
      </c>
    </row>
    <row r="32" spans="1:17" x14ac:dyDescent="0.3">
      <c r="A32" s="7">
        <v>45904</v>
      </c>
      <c r="B32" s="7">
        <v>45905</v>
      </c>
      <c r="C32" t="s">
        <v>29</v>
      </c>
      <c r="D32" t="s">
        <v>15</v>
      </c>
      <c r="E32" t="s">
        <v>617</v>
      </c>
      <c r="F32">
        <v>430060692</v>
      </c>
      <c r="G32">
        <v>803130067</v>
      </c>
      <c r="H32">
        <v>44072</v>
      </c>
      <c r="I32">
        <v>44214</v>
      </c>
      <c r="J32">
        <f>Table13456789101112132345678910[[#This Row],[LOADED LITRES]]-Table13456789101112132345678910[[#This Row],[Offloading Litres]]</f>
        <v>-142</v>
      </c>
      <c r="K32" t="s">
        <v>25</v>
      </c>
      <c r="L32">
        <v>76154520</v>
      </c>
      <c r="M32" t="s">
        <v>2122</v>
      </c>
      <c r="N32">
        <v>0.69330000000000003</v>
      </c>
      <c r="O32" s="8">
        <f>Table13456789101112132345678910[[#This Row],[Offloading Litres]]*Table13456789101112132345678910[[#This Row],[Rate]]</f>
        <v>30653.566200000001</v>
      </c>
      <c r="P32" s="9" t="s">
        <v>2029</v>
      </c>
      <c r="Q32" t="s">
        <v>2335</v>
      </c>
    </row>
    <row r="33" spans="1:17" x14ac:dyDescent="0.3">
      <c r="A33" s="7">
        <v>45904</v>
      </c>
      <c r="B33" s="7">
        <v>45905</v>
      </c>
      <c r="C33" t="s">
        <v>22</v>
      </c>
      <c r="D33" t="s">
        <v>26</v>
      </c>
      <c r="E33" t="s">
        <v>16</v>
      </c>
      <c r="F33">
        <v>429816561</v>
      </c>
      <c r="G33">
        <v>803126788</v>
      </c>
      <c r="H33">
        <v>44135</v>
      </c>
      <c r="I33">
        <v>44064</v>
      </c>
      <c r="J33">
        <f>Table13456789101112132345678910[[#This Row],[LOADED LITRES]]-Table13456789101112132345678910[[#This Row],[Offloading Litres]]</f>
        <v>71</v>
      </c>
      <c r="K33" t="s">
        <v>25</v>
      </c>
      <c r="L33">
        <v>76150929</v>
      </c>
      <c r="M33" t="s">
        <v>2123</v>
      </c>
      <c r="N33">
        <v>0.69389999999999996</v>
      </c>
      <c r="O33" s="8">
        <f>Table13456789101112132345678910[[#This Row],[Offloading Litres]]*Table13456789101112132345678910[[#This Row],[Rate]]</f>
        <v>30576.009599999998</v>
      </c>
      <c r="P33" s="9" t="s">
        <v>2033</v>
      </c>
      <c r="Q33" t="s">
        <v>2334</v>
      </c>
    </row>
    <row r="34" spans="1:17" x14ac:dyDescent="0.3">
      <c r="A34" s="7">
        <v>45904</v>
      </c>
      <c r="B34" s="7">
        <v>45905</v>
      </c>
      <c r="C34" t="s">
        <v>34</v>
      </c>
      <c r="D34" t="s">
        <v>286</v>
      </c>
      <c r="E34" t="s">
        <v>617</v>
      </c>
      <c r="F34">
        <v>430066701</v>
      </c>
      <c r="G34">
        <v>803130297</v>
      </c>
      <c r="H34">
        <v>43957</v>
      </c>
      <c r="I34">
        <v>44115</v>
      </c>
      <c r="J34">
        <f>Table13456789101112132345678910[[#This Row],[LOADED LITRES]]-Table13456789101112132345678910[[#This Row],[Offloading Litres]]</f>
        <v>-158</v>
      </c>
      <c r="K34" t="s">
        <v>25</v>
      </c>
      <c r="L34">
        <v>76154693</v>
      </c>
      <c r="M34" t="s">
        <v>2124</v>
      </c>
      <c r="N34">
        <v>0.69330000000000003</v>
      </c>
      <c r="O34" s="8">
        <f>Table13456789101112132345678910[[#This Row],[Offloading Litres]]*Table13456789101112132345678910[[#This Row],[Rate]]</f>
        <v>30584.929500000002</v>
      </c>
      <c r="P34" s="9" t="s">
        <v>2040</v>
      </c>
      <c r="Q34" t="s">
        <v>2332</v>
      </c>
    </row>
    <row r="35" spans="1:17" x14ac:dyDescent="0.3">
      <c r="A35" s="7">
        <v>45905</v>
      </c>
      <c r="B35" s="7">
        <v>45908</v>
      </c>
      <c r="C35" t="s">
        <v>21</v>
      </c>
      <c r="D35" t="s">
        <v>27</v>
      </c>
      <c r="E35" t="s">
        <v>16</v>
      </c>
      <c r="F35">
        <v>429817511</v>
      </c>
      <c r="G35">
        <v>803132538</v>
      </c>
      <c r="H35">
        <v>39229</v>
      </c>
      <c r="I35">
        <v>39270</v>
      </c>
      <c r="J35">
        <f>Table13456789101112132345678910[[#This Row],[LOADED LITRES]]-Table13456789101112132345678910[[#This Row],[Offloading Litres]]</f>
        <v>-41</v>
      </c>
      <c r="K35" t="s">
        <v>32</v>
      </c>
      <c r="L35">
        <v>76157159</v>
      </c>
      <c r="M35" t="s">
        <v>2125</v>
      </c>
      <c r="N35">
        <v>0.69389999999999996</v>
      </c>
      <c r="O35" s="8">
        <f>Table13456789101112132345678910[[#This Row],[Offloading Litres]]*Table13456789101112132345678910[[#This Row],[Rate]]</f>
        <v>27249.452999999998</v>
      </c>
      <c r="P35" s="9" t="s">
        <v>2019</v>
      </c>
      <c r="Q35" t="s">
        <v>2341</v>
      </c>
    </row>
    <row r="36" spans="1:17" x14ac:dyDescent="0.3">
      <c r="A36" s="7">
        <v>45905</v>
      </c>
      <c r="B36" s="7">
        <v>45908</v>
      </c>
      <c r="C36" t="s">
        <v>103</v>
      </c>
      <c r="D36" t="s">
        <v>24</v>
      </c>
      <c r="E36" t="s">
        <v>16</v>
      </c>
      <c r="F36">
        <v>429817438</v>
      </c>
      <c r="G36">
        <v>803132295</v>
      </c>
      <c r="H36">
        <v>39242</v>
      </c>
      <c r="I36">
        <v>39360</v>
      </c>
      <c r="J36">
        <f>Table13456789101112132345678910[[#This Row],[LOADED LITRES]]-Table13456789101112132345678910[[#This Row],[Offloading Litres]]</f>
        <v>-118</v>
      </c>
      <c r="K36" t="s">
        <v>32</v>
      </c>
      <c r="L36">
        <v>76156933</v>
      </c>
      <c r="M36" t="s">
        <v>2126</v>
      </c>
      <c r="N36">
        <v>0.69389999999999996</v>
      </c>
      <c r="O36" s="8">
        <f>Table13456789101112132345678910[[#This Row],[Offloading Litres]]*Table13456789101112132345678910[[#This Row],[Rate]]</f>
        <v>27311.903999999999</v>
      </c>
      <c r="P36" s="9" t="s">
        <v>2015</v>
      </c>
      <c r="Q36" t="s">
        <v>2342</v>
      </c>
    </row>
    <row r="37" spans="1:17" x14ac:dyDescent="0.3">
      <c r="A37" s="7">
        <v>45906</v>
      </c>
      <c r="B37" s="7">
        <v>45908</v>
      </c>
      <c r="C37" t="s">
        <v>28</v>
      </c>
      <c r="D37" t="s">
        <v>33</v>
      </c>
      <c r="E37" t="s">
        <v>617</v>
      </c>
      <c r="F37">
        <v>430092753</v>
      </c>
      <c r="G37">
        <v>803137887</v>
      </c>
      <c r="H37">
        <v>39626</v>
      </c>
      <c r="I37">
        <v>39599</v>
      </c>
      <c r="J37">
        <f>Table13456789101112132345678910[[#This Row],[LOADED LITRES]]-Table13456789101112132345678910[[#This Row],[Offloading Litres]]</f>
        <v>27</v>
      </c>
      <c r="K37" t="s">
        <v>32</v>
      </c>
      <c r="L37">
        <v>76163768</v>
      </c>
      <c r="M37" t="s">
        <v>2127</v>
      </c>
      <c r="N37">
        <v>0.69330000000000003</v>
      </c>
      <c r="O37" s="8">
        <f>Table13456789101112132345678910[[#This Row],[Offloading Litres]]*Table13456789101112132345678910[[#This Row],[Rate]]</f>
        <v>27453.986700000001</v>
      </c>
      <c r="P37" s="9" t="s">
        <v>2016</v>
      </c>
      <c r="Q37" t="s">
        <v>2344</v>
      </c>
    </row>
    <row r="38" spans="1:17" x14ac:dyDescent="0.3">
      <c r="A38" s="7">
        <v>45906</v>
      </c>
      <c r="B38" s="7">
        <v>45908</v>
      </c>
      <c r="C38" t="s">
        <v>1794</v>
      </c>
      <c r="D38" t="s">
        <v>35</v>
      </c>
      <c r="E38" t="s">
        <v>617</v>
      </c>
      <c r="F38">
        <v>430092763</v>
      </c>
      <c r="G38">
        <v>803137550</v>
      </c>
      <c r="H38">
        <v>39809</v>
      </c>
      <c r="I38">
        <v>39757</v>
      </c>
      <c r="J38">
        <f>Table13456789101112132345678910[[#This Row],[LOADED LITRES]]-Table13456789101112132345678910[[#This Row],[Offloading Litres]]</f>
        <v>52</v>
      </c>
      <c r="K38" t="s">
        <v>32</v>
      </c>
      <c r="L38">
        <v>76163374</v>
      </c>
      <c r="M38" t="s">
        <v>2128</v>
      </c>
      <c r="N38">
        <v>0.69330000000000003</v>
      </c>
      <c r="O38" s="8">
        <f>Table13456789101112132345678910[[#This Row],[Offloading Litres]]*Table13456789101112132345678910[[#This Row],[Rate]]</f>
        <v>27563.5281</v>
      </c>
      <c r="P38" s="9" t="s">
        <v>2018</v>
      </c>
      <c r="Q38" t="s">
        <v>2343</v>
      </c>
    </row>
    <row r="39" spans="1:17" x14ac:dyDescent="0.3">
      <c r="A39" s="7">
        <v>45906</v>
      </c>
      <c r="B39" s="7">
        <v>45907</v>
      </c>
      <c r="C39" t="s">
        <v>23</v>
      </c>
      <c r="D39" t="s">
        <v>349</v>
      </c>
      <c r="E39" t="s">
        <v>617</v>
      </c>
      <c r="F39">
        <v>430092565</v>
      </c>
      <c r="G39">
        <v>803135882</v>
      </c>
      <c r="H39">
        <v>38767</v>
      </c>
      <c r="I39">
        <v>38730</v>
      </c>
      <c r="J39">
        <f>Table13456789101112132345678910[[#This Row],[LOADED LITRES]]-Table13456789101112132345678910[[#This Row],[Offloading Litres]]</f>
        <v>37</v>
      </c>
      <c r="K39" t="s">
        <v>32</v>
      </c>
      <c r="L39">
        <v>76161195</v>
      </c>
      <c r="M39" t="s">
        <v>2129</v>
      </c>
      <c r="N39">
        <v>0.69330000000000003</v>
      </c>
      <c r="O39" s="8">
        <f>Table13456789101112132345678910[[#This Row],[Offloading Litres]]*Table13456789101112132345678910[[#This Row],[Rate]]</f>
        <v>26851.509000000002</v>
      </c>
      <c r="P39" s="9" t="s">
        <v>2020</v>
      </c>
      <c r="Q39" t="s">
        <v>2337</v>
      </c>
    </row>
    <row r="40" spans="1:17" x14ac:dyDescent="0.3">
      <c r="A40" s="7">
        <v>45906</v>
      </c>
      <c r="B40" s="7">
        <v>45907</v>
      </c>
      <c r="C40" t="s">
        <v>17</v>
      </c>
      <c r="D40" t="s">
        <v>19</v>
      </c>
      <c r="E40" t="s">
        <v>617</v>
      </c>
      <c r="F40">
        <v>430092605</v>
      </c>
      <c r="G40">
        <v>803135970</v>
      </c>
      <c r="H40">
        <v>38828</v>
      </c>
      <c r="I40">
        <v>38767</v>
      </c>
      <c r="J40">
        <f>Table13456789101112132345678910[[#This Row],[LOADED LITRES]]-Table13456789101112132345678910[[#This Row],[Offloading Litres]]</f>
        <v>61</v>
      </c>
      <c r="K40" t="s">
        <v>32</v>
      </c>
      <c r="L40">
        <v>76161274</v>
      </c>
      <c r="M40" t="s">
        <v>2130</v>
      </c>
      <c r="N40">
        <v>0.69330000000000003</v>
      </c>
      <c r="O40" s="8">
        <f>Table13456789101112132345678910[[#This Row],[Offloading Litres]]*Table13456789101112132345678910[[#This Row],[Rate]]</f>
        <v>26877.161100000001</v>
      </c>
      <c r="P40" s="9" t="s">
        <v>2021</v>
      </c>
      <c r="Q40" t="s">
        <v>2336</v>
      </c>
    </row>
    <row r="41" spans="1:17" x14ac:dyDescent="0.3">
      <c r="A41" s="7">
        <v>45906</v>
      </c>
      <c r="B41" s="7">
        <v>45907</v>
      </c>
      <c r="C41" t="s">
        <v>22</v>
      </c>
      <c r="D41" t="s">
        <v>26</v>
      </c>
      <c r="E41" t="s">
        <v>617</v>
      </c>
      <c r="F41">
        <v>430092312</v>
      </c>
      <c r="G41">
        <v>803135901</v>
      </c>
      <c r="H41">
        <v>39758</v>
      </c>
      <c r="I41">
        <v>39678</v>
      </c>
      <c r="J41">
        <f>Table13456789101112132345678910[[#This Row],[LOADED LITRES]]-Table13456789101112132345678910[[#This Row],[Offloading Litres]]</f>
        <v>80</v>
      </c>
      <c r="K41" t="s">
        <v>32</v>
      </c>
      <c r="L41">
        <v>76161210</v>
      </c>
      <c r="M41" t="s">
        <v>2131</v>
      </c>
      <c r="N41">
        <v>0.69330000000000003</v>
      </c>
      <c r="O41" s="8">
        <f>Table13456789101112132345678910[[#This Row],[Offloading Litres]]*Table13456789101112132345678910[[#This Row],[Rate]]</f>
        <v>27508.757400000002</v>
      </c>
      <c r="P41" s="9" t="s">
        <v>2022</v>
      </c>
      <c r="Q41" t="s">
        <v>2338</v>
      </c>
    </row>
    <row r="42" spans="1:17" x14ac:dyDescent="0.3">
      <c r="A42" s="7">
        <v>45906</v>
      </c>
      <c r="B42" s="7">
        <v>45907</v>
      </c>
      <c r="C42" t="s">
        <v>34</v>
      </c>
      <c r="D42" t="s">
        <v>286</v>
      </c>
      <c r="E42" t="s">
        <v>617</v>
      </c>
      <c r="F42">
        <v>430092741</v>
      </c>
      <c r="G42">
        <v>803137231</v>
      </c>
      <c r="H42">
        <v>38792</v>
      </c>
      <c r="I42">
        <v>38808</v>
      </c>
      <c r="J42">
        <f>Table13456789101112132345678910[[#This Row],[LOADED LITRES]]-Table13456789101112132345678910[[#This Row],[Offloading Litres]]</f>
        <v>-16</v>
      </c>
      <c r="K42" t="s">
        <v>32</v>
      </c>
      <c r="L42">
        <v>76162931</v>
      </c>
      <c r="M42" t="s">
        <v>2132</v>
      </c>
      <c r="N42">
        <v>0.69330000000000003</v>
      </c>
      <c r="O42" s="8">
        <f>Table13456789101112132345678910[[#This Row],[Offloading Litres]]*Table13456789101112132345678910[[#This Row],[Rate]]</f>
        <v>26905.5864</v>
      </c>
      <c r="P42" s="9" t="s">
        <v>2024</v>
      </c>
      <c r="Q42" t="s">
        <v>2339</v>
      </c>
    </row>
    <row r="43" spans="1:17" x14ac:dyDescent="0.3">
      <c r="A43" s="7">
        <v>45906</v>
      </c>
      <c r="B43" s="7">
        <v>45907</v>
      </c>
      <c r="C43" t="s">
        <v>30</v>
      </c>
      <c r="D43" t="s">
        <v>624</v>
      </c>
      <c r="E43" t="s">
        <v>617</v>
      </c>
      <c r="F43">
        <v>430092647</v>
      </c>
      <c r="G43">
        <v>803136150</v>
      </c>
      <c r="H43">
        <v>38796</v>
      </c>
      <c r="I43">
        <v>38726</v>
      </c>
      <c r="J43">
        <f>Table13456789101112132345678910[[#This Row],[LOADED LITRES]]-Table13456789101112132345678910[[#This Row],[Offloading Litres]]</f>
        <v>70</v>
      </c>
      <c r="K43" t="s">
        <v>32</v>
      </c>
      <c r="L43">
        <v>76161540</v>
      </c>
      <c r="M43" t="s">
        <v>2133</v>
      </c>
      <c r="N43">
        <v>0.69330000000000003</v>
      </c>
      <c r="O43" s="8">
        <f>Table13456789101112132345678910[[#This Row],[Offloading Litres]]*Table13456789101112132345678910[[#This Row],[Rate]]</f>
        <v>26848.735800000002</v>
      </c>
      <c r="P43" s="9" t="s">
        <v>2025</v>
      </c>
      <c r="Q43" t="s">
        <v>2340</v>
      </c>
    </row>
    <row r="44" spans="1:17" x14ac:dyDescent="0.3">
      <c r="A44" s="7">
        <v>45907</v>
      </c>
      <c r="B44" s="7">
        <v>45908</v>
      </c>
      <c r="C44" t="s">
        <v>29</v>
      </c>
      <c r="D44" t="s">
        <v>15</v>
      </c>
      <c r="E44" t="s">
        <v>617</v>
      </c>
      <c r="F44">
        <v>430092631</v>
      </c>
      <c r="G44">
        <v>803138385</v>
      </c>
      <c r="H44">
        <v>39560</v>
      </c>
      <c r="I44">
        <v>39630</v>
      </c>
      <c r="J44">
        <f>Table13456789101112132345678910[[#This Row],[LOADED LITRES]]-Table13456789101112132345678910[[#This Row],[Offloading Litres]]</f>
        <v>-70</v>
      </c>
      <c r="K44" t="s">
        <v>32</v>
      </c>
      <c r="L44">
        <v>76164393</v>
      </c>
      <c r="M44" t="s">
        <v>2134</v>
      </c>
      <c r="N44">
        <v>0.69330000000000003</v>
      </c>
      <c r="O44" s="8">
        <f>Table13456789101112132345678910[[#This Row],[Offloading Litres]]*Table13456789101112132345678910[[#This Row],[Rate]]</f>
        <v>27475.478999999999</v>
      </c>
      <c r="P44" s="9" t="s">
        <v>2017</v>
      </c>
      <c r="Q44" t="s">
        <v>2346</v>
      </c>
    </row>
    <row r="45" spans="1:17" x14ac:dyDescent="0.3">
      <c r="A45" s="7">
        <v>45907</v>
      </c>
      <c r="B45" s="7">
        <v>45910</v>
      </c>
      <c r="C45" t="s">
        <v>22</v>
      </c>
      <c r="D45" t="s">
        <v>26</v>
      </c>
      <c r="E45" t="s">
        <v>16</v>
      </c>
      <c r="F45">
        <v>429816621</v>
      </c>
      <c r="G45">
        <v>803138685</v>
      </c>
      <c r="H45">
        <v>44119</v>
      </c>
      <c r="I45">
        <v>44046</v>
      </c>
      <c r="J45">
        <f>Table13456789101112132345678910[[#This Row],[LOADED LITRES]]-Table13456789101112132345678910[[#This Row],[Offloading Litres]]</f>
        <v>73</v>
      </c>
      <c r="K45" t="s">
        <v>25</v>
      </c>
      <c r="L45">
        <v>76164736</v>
      </c>
      <c r="M45" t="s">
        <v>2135</v>
      </c>
      <c r="N45">
        <v>0.69389999999999996</v>
      </c>
      <c r="O45" s="8">
        <f>Table13456789101112132345678910[[#This Row],[Offloading Litres]]*Table13456789101112132345678910[[#This Row],[Rate]]</f>
        <v>30563.519399999997</v>
      </c>
      <c r="P45" s="9" t="s">
        <v>2054</v>
      </c>
      <c r="Q45" t="s">
        <v>2365</v>
      </c>
    </row>
    <row r="46" spans="1:17" x14ac:dyDescent="0.3">
      <c r="A46" s="7">
        <v>45907</v>
      </c>
      <c r="B46" s="7">
        <v>45908</v>
      </c>
      <c r="C46" t="s">
        <v>17</v>
      </c>
      <c r="D46" t="s">
        <v>19</v>
      </c>
      <c r="E46" t="s">
        <v>617</v>
      </c>
      <c r="F46">
        <v>430093044</v>
      </c>
      <c r="G46">
        <v>803138681</v>
      </c>
      <c r="H46">
        <v>38807</v>
      </c>
      <c r="I46">
        <v>38973</v>
      </c>
      <c r="J46">
        <f>Table13456789101112132345678910[[#This Row],[LOADED LITRES]]-Table13456789101112132345678910[[#This Row],[Offloading Litres]]</f>
        <v>-166</v>
      </c>
      <c r="K46" t="s">
        <v>32</v>
      </c>
      <c r="L46">
        <v>76164729</v>
      </c>
      <c r="M46" t="s">
        <v>2136</v>
      </c>
      <c r="N46">
        <v>0.69330000000000003</v>
      </c>
      <c r="O46" s="8">
        <f>Table13456789101112132345678910[[#This Row],[Offloading Litres]]*Table13456789101112132345678910[[#This Row],[Rate]]</f>
        <v>27019.980900000002</v>
      </c>
      <c r="P46" s="9" t="s">
        <v>2060</v>
      </c>
      <c r="Q46" t="s">
        <v>2345</v>
      </c>
    </row>
    <row r="47" spans="1:17" x14ac:dyDescent="0.3">
      <c r="A47" s="7">
        <v>45907</v>
      </c>
      <c r="B47" s="7">
        <v>45910</v>
      </c>
      <c r="C47" t="s">
        <v>34</v>
      </c>
      <c r="D47" t="s">
        <v>286</v>
      </c>
      <c r="E47" t="s">
        <v>16</v>
      </c>
      <c r="F47">
        <v>429817922</v>
      </c>
      <c r="G47">
        <v>803138707</v>
      </c>
      <c r="H47">
        <v>38819</v>
      </c>
      <c r="I47">
        <v>38870</v>
      </c>
      <c r="J47">
        <f>Table13456789101112132345678910[[#This Row],[LOADED LITRES]]-Table13456789101112132345678910[[#This Row],[Offloading Litres]]</f>
        <v>-51</v>
      </c>
      <c r="K47" t="s">
        <v>32</v>
      </c>
      <c r="L47">
        <v>76164761</v>
      </c>
      <c r="M47" t="s">
        <v>2137</v>
      </c>
      <c r="N47">
        <v>0.69389999999999996</v>
      </c>
      <c r="O47" s="8">
        <f>Table13456789101112132345678910[[#This Row],[Offloading Litres]]*Table13456789101112132345678910[[#This Row],[Rate]]</f>
        <v>26971.893</v>
      </c>
      <c r="P47" s="9" t="s">
        <v>2068</v>
      </c>
      <c r="Q47" t="s">
        <v>2347</v>
      </c>
    </row>
    <row r="48" spans="1:17" x14ac:dyDescent="0.3">
      <c r="A48" s="7">
        <v>45907</v>
      </c>
      <c r="B48" s="7">
        <v>45910</v>
      </c>
      <c r="C48" t="s">
        <v>23</v>
      </c>
      <c r="D48" t="s">
        <v>349</v>
      </c>
      <c r="E48" t="s">
        <v>16</v>
      </c>
      <c r="F48">
        <v>429816603</v>
      </c>
      <c r="G48">
        <v>803138689</v>
      </c>
      <c r="H48">
        <v>44043</v>
      </c>
      <c r="I48">
        <v>43920</v>
      </c>
      <c r="J48">
        <f>Table13456789101112132345678910[[#This Row],[LOADED LITRES]]-Table13456789101112132345678910[[#This Row],[Offloading Litres]]</f>
        <v>123</v>
      </c>
      <c r="K48" t="s">
        <v>25</v>
      </c>
      <c r="L48">
        <v>76164739</v>
      </c>
      <c r="M48" t="s">
        <v>2138</v>
      </c>
      <c r="N48">
        <v>0.69389999999999996</v>
      </c>
      <c r="O48" s="8">
        <f>Table13456789101112132345678910[[#This Row],[Offloading Litres]]*Table13456789101112132345678910[[#This Row],[Rate]]</f>
        <v>30476.088</v>
      </c>
      <c r="P48" s="9" t="s">
        <v>2069</v>
      </c>
      <c r="Q48" t="s">
        <v>2348</v>
      </c>
    </row>
    <row r="49" spans="1:17" x14ac:dyDescent="0.3">
      <c r="A49" s="7">
        <v>45909</v>
      </c>
      <c r="B49" s="7">
        <v>45911</v>
      </c>
      <c r="C49" t="s">
        <v>21</v>
      </c>
      <c r="D49" t="s">
        <v>27</v>
      </c>
      <c r="E49" t="s">
        <v>16</v>
      </c>
      <c r="F49">
        <v>430127170</v>
      </c>
      <c r="G49">
        <v>803147113</v>
      </c>
      <c r="H49">
        <v>44596</v>
      </c>
      <c r="I49">
        <v>44620</v>
      </c>
      <c r="J49">
        <f>Table13456789101112132345678910[[#This Row],[LOADED LITRES]]-Table13456789101112132345678910[[#This Row],[Offloading Litres]]</f>
        <v>-24</v>
      </c>
      <c r="K49" t="s">
        <v>25</v>
      </c>
      <c r="L49">
        <v>76172714</v>
      </c>
      <c r="M49" t="s">
        <v>2139</v>
      </c>
      <c r="N49">
        <v>0.69389999999999996</v>
      </c>
      <c r="O49" s="8">
        <f>Table13456789101112132345678910[[#This Row],[Offloading Litres]]*Table13456789101112132345678910[[#This Row],[Rate]]</f>
        <v>30961.817999999999</v>
      </c>
      <c r="P49" s="9" t="s">
        <v>2009</v>
      </c>
      <c r="Q49" t="s">
        <v>2349</v>
      </c>
    </row>
    <row r="50" spans="1:17" x14ac:dyDescent="0.3">
      <c r="A50" s="7">
        <v>45909</v>
      </c>
      <c r="B50" s="7">
        <v>45911</v>
      </c>
      <c r="C50" t="s">
        <v>29</v>
      </c>
      <c r="D50" t="s">
        <v>24</v>
      </c>
      <c r="E50" t="s">
        <v>16</v>
      </c>
      <c r="F50">
        <v>430127377</v>
      </c>
      <c r="G50">
        <v>803148237</v>
      </c>
      <c r="H50">
        <v>44139</v>
      </c>
      <c r="I50">
        <v>44213</v>
      </c>
      <c r="J50">
        <f>Table13456789101112132345678910[[#This Row],[LOADED LITRES]]-Table13456789101112132345678910[[#This Row],[Offloading Litres]]</f>
        <v>-74</v>
      </c>
      <c r="K50" t="s">
        <v>25</v>
      </c>
      <c r="L50">
        <v>76173888</v>
      </c>
      <c r="M50" t="s">
        <v>2140</v>
      </c>
      <c r="N50">
        <v>0.69389999999999996</v>
      </c>
      <c r="O50" s="8">
        <f>Table13456789101112132345678910[[#This Row],[Offloading Litres]]*Table13456789101112132345678910[[#This Row],[Rate]]</f>
        <v>30679.400699999998</v>
      </c>
      <c r="P50" s="9" t="s">
        <v>2010</v>
      </c>
      <c r="Q50" t="s">
        <v>2353</v>
      </c>
    </row>
    <row r="51" spans="1:17" x14ac:dyDescent="0.3">
      <c r="A51" s="7">
        <v>45909</v>
      </c>
      <c r="B51" s="7">
        <v>45911</v>
      </c>
      <c r="C51" t="s">
        <v>28</v>
      </c>
      <c r="D51" t="s">
        <v>33</v>
      </c>
      <c r="E51" t="s">
        <v>16</v>
      </c>
      <c r="F51">
        <v>430127371</v>
      </c>
      <c r="G51">
        <v>803147834</v>
      </c>
      <c r="H51">
        <v>39533</v>
      </c>
      <c r="I51">
        <v>39605</v>
      </c>
      <c r="J51">
        <f>Table13456789101112132345678910[[#This Row],[LOADED LITRES]]-Table13456789101112132345678910[[#This Row],[Offloading Litres]]</f>
        <v>-72</v>
      </c>
      <c r="K51" t="s">
        <v>32</v>
      </c>
      <c r="L51">
        <v>76173453</v>
      </c>
      <c r="M51" t="s">
        <v>2141</v>
      </c>
      <c r="N51">
        <v>0.69389999999999996</v>
      </c>
      <c r="O51" s="8">
        <f>Table13456789101112132345678910[[#This Row],[Offloading Litres]]*Table13456789101112132345678910[[#This Row],[Rate]]</f>
        <v>27481.909499999998</v>
      </c>
      <c r="P51" s="9" t="s">
        <v>2014</v>
      </c>
      <c r="Q51" t="s">
        <v>2351</v>
      </c>
    </row>
    <row r="52" spans="1:17" x14ac:dyDescent="0.3">
      <c r="A52" s="7">
        <v>45909</v>
      </c>
      <c r="B52" s="7">
        <v>45910</v>
      </c>
      <c r="C52" t="s">
        <v>103</v>
      </c>
      <c r="D52" t="s">
        <v>15</v>
      </c>
      <c r="E52" t="s">
        <v>617</v>
      </c>
      <c r="F52">
        <v>430218912</v>
      </c>
      <c r="G52">
        <v>803148201</v>
      </c>
      <c r="H52">
        <v>39251</v>
      </c>
      <c r="I52">
        <v>39461</v>
      </c>
      <c r="J52">
        <f>Table13456789101112132345678910[[#This Row],[LOADED LITRES]]-Table13456789101112132345678910[[#This Row],[Offloading Litres]]</f>
        <v>-210</v>
      </c>
      <c r="K52" t="s">
        <v>32</v>
      </c>
      <c r="L52">
        <v>76173859</v>
      </c>
      <c r="M52" t="s">
        <v>2142</v>
      </c>
      <c r="N52">
        <v>0.69330000000000003</v>
      </c>
      <c r="O52" s="8">
        <f>Table13456789101112132345678910[[#This Row],[Offloading Litres]]*Table13456789101112132345678910[[#This Row],[Rate]]</f>
        <v>27358.311300000001</v>
      </c>
      <c r="P52" s="9" t="s">
        <v>2023</v>
      </c>
      <c r="Q52" t="s">
        <v>2350</v>
      </c>
    </row>
    <row r="53" spans="1:17" x14ac:dyDescent="0.3">
      <c r="A53" s="7">
        <v>45909</v>
      </c>
      <c r="B53" s="7">
        <v>45911</v>
      </c>
      <c r="C53" t="s">
        <v>30</v>
      </c>
      <c r="D53" t="s">
        <v>624</v>
      </c>
      <c r="E53" t="s">
        <v>16</v>
      </c>
      <c r="F53">
        <v>430127858</v>
      </c>
      <c r="G53">
        <v>803145146</v>
      </c>
      <c r="H53">
        <v>38755</v>
      </c>
      <c r="I53">
        <v>38731</v>
      </c>
      <c r="J53">
        <f>Table13456789101112132345678910[[#This Row],[LOADED LITRES]]-Table13456789101112132345678910[[#This Row],[Offloading Litres]]</f>
        <v>24</v>
      </c>
      <c r="K53" t="s">
        <v>32</v>
      </c>
      <c r="L53">
        <v>76170872</v>
      </c>
      <c r="M53" t="s">
        <v>2143</v>
      </c>
      <c r="N53">
        <v>0.69389999999999996</v>
      </c>
      <c r="O53" s="8">
        <f>Table13456789101112132345678910[[#This Row],[Offloading Litres]]*Table13456789101112132345678910[[#This Row],[Rate]]</f>
        <v>26875.440899999998</v>
      </c>
      <c r="P53" s="9" t="s">
        <v>2067</v>
      </c>
      <c r="Q53" t="s">
        <v>2352</v>
      </c>
    </row>
    <row r="54" spans="1:17" x14ac:dyDescent="0.3">
      <c r="A54" s="7">
        <v>45910</v>
      </c>
      <c r="B54" s="7">
        <v>45912</v>
      </c>
      <c r="C54" t="s">
        <v>17</v>
      </c>
      <c r="D54" t="s">
        <v>19</v>
      </c>
      <c r="E54" t="s">
        <v>16</v>
      </c>
      <c r="F54">
        <v>430127366</v>
      </c>
      <c r="G54">
        <v>803149044</v>
      </c>
      <c r="H54">
        <v>43992</v>
      </c>
      <c r="I54">
        <v>44064</v>
      </c>
      <c r="J54">
        <f>Table13456789101112132345678910[[#This Row],[LOADED LITRES]]-Table13456789101112132345678910[[#This Row],[Offloading Litres]]</f>
        <v>-72</v>
      </c>
      <c r="K54" t="s">
        <v>25</v>
      </c>
      <c r="L54">
        <v>76174724</v>
      </c>
      <c r="M54" t="s">
        <v>2144</v>
      </c>
      <c r="N54">
        <v>0.69389999999999996</v>
      </c>
      <c r="O54" s="8">
        <f>Table13456789101112132345678910[[#This Row],[Offloading Litres]]*Table13456789101112132345678910[[#This Row],[Rate]]</f>
        <v>30576.009599999998</v>
      </c>
      <c r="P54" s="9" t="s">
        <v>2011</v>
      </c>
      <c r="Q54" t="s">
        <v>2358</v>
      </c>
    </row>
    <row r="55" spans="1:17" x14ac:dyDescent="0.3">
      <c r="A55" s="7">
        <v>45910</v>
      </c>
      <c r="B55" s="7">
        <v>45911</v>
      </c>
      <c r="C55" t="s">
        <v>1794</v>
      </c>
      <c r="D55" t="s">
        <v>35</v>
      </c>
      <c r="E55" t="s">
        <v>617</v>
      </c>
      <c r="F55">
        <v>430218922</v>
      </c>
      <c r="G55">
        <v>803149627</v>
      </c>
      <c r="H55">
        <v>39787</v>
      </c>
      <c r="I55">
        <v>39755</v>
      </c>
      <c r="J55">
        <f>Table13456789101112132345678910[[#This Row],[LOADED LITRES]]-Table13456789101112132345678910[[#This Row],[Offloading Litres]]</f>
        <v>32</v>
      </c>
      <c r="K55" t="s">
        <v>32</v>
      </c>
      <c r="L55">
        <v>76175351</v>
      </c>
      <c r="M55" t="s">
        <v>2145</v>
      </c>
      <c r="N55">
        <v>0.69330000000000003</v>
      </c>
      <c r="O55" s="8">
        <f>Table13456789101112132345678910[[#This Row],[Offloading Litres]]*Table13456789101112132345678910[[#This Row],[Rate]]</f>
        <v>27562.141500000002</v>
      </c>
      <c r="P55" s="9" t="s">
        <v>2013</v>
      </c>
      <c r="Q55" t="s">
        <v>2354</v>
      </c>
    </row>
    <row r="56" spans="1:17" x14ac:dyDescent="0.3">
      <c r="A56" s="7">
        <v>45911</v>
      </c>
      <c r="B56" s="7">
        <v>45916</v>
      </c>
      <c r="C56" t="s">
        <v>1794</v>
      </c>
      <c r="D56" t="s">
        <v>35</v>
      </c>
      <c r="E56" t="s">
        <v>16</v>
      </c>
      <c r="F56">
        <v>430127381</v>
      </c>
      <c r="G56">
        <v>803158677</v>
      </c>
      <c r="H56">
        <v>44619</v>
      </c>
      <c r="I56">
        <v>44367</v>
      </c>
      <c r="J56">
        <f>Table13456789101112132345678910[[#This Row],[LOADED LITRES]]-Table13456789101112132345678910[[#This Row],[Offloading Litres]]</f>
        <v>252</v>
      </c>
      <c r="K56" t="s">
        <v>25</v>
      </c>
      <c r="L56">
        <v>76184129</v>
      </c>
      <c r="M56" t="s">
        <v>2146</v>
      </c>
      <c r="N56">
        <v>0.69389999999999996</v>
      </c>
      <c r="O56" s="8">
        <f>Table13456789101112132345678910[[#This Row],[Offloading Litres]]*Table13456789101112132345678910[[#This Row],[Rate]]</f>
        <v>30786.261299999998</v>
      </c>
      <c r="P56" s="9" t="s">
        <v>2058</v>
      </c>
      <c r="Q56" t="s">
        <v>2367</v>
      </c>
    </row>
    <row r="57" spans="1:17" x14ac:dyDescent="0.3">
      <c r="A57" s="7">
        <v>45912</v>
      </c>
      <c r="B57" s="7">
        <v>45913</v>
      </c>
      <c r="C57" t="s">
        <v>103</v>
      </c>
      <c r="D57" t="s">
        <v>15</v>
      </c>
      <c r="E57" t="s">
        <v>617</v>
      </c>
      <c r="F57">
        <v>430218929</v>
      </c>
      <c r="G57">
        <v>803160373</v>
      </c>
      <c r="H57">
        <v>39277</v>
      </c>
      <c r="I57">
        <v>39460</v>
      </c>
      <c r="J57">
        <f>Table13456789101112132345678910[[#This Row],[LOADED LITRES]]-Table13456789101112132345678910[[#This Row],[Offloading Litres]]</f>
        <v>-183</v>
      </c>
      <c r="K57" t="s">
        <v>32</v>
      </c>
      <c r="L57">
        <v>76186120</v>
      </c>
      <c r="M57" t="s">
        <v>2147</v>
      </c>
      <c r="N57">
        <v>0.69330000000000003</v>
      </c>
      <c r="O57" s="8">
        <f>Table13456789101112132345678910[[#This Row],[Offloading Litres]]*Table13456789101112132345678910[[#This Row],[Rate]]</f>
        <v>27357.618000000002</v>
      </c>
      <c r="P57" s="9" t="s">
        <v>2012</v>
      </c>
      <c r="Q57" t="s">
        <v>2359</v>
      </c>
    </row>
    <row r="58" spans="1:17" x14ac:dyDescent="0.3">
      <c r="A58" s="7">
        <v>45912</v>
      </c>
      <c r="B58" s="7">
        <v>45915</v>
      </c>
      <c r="C58" t="s">
        <v>34</v>
      </c>
      <c r="D58" t="s">
        <v>286</v>
      </c>
      <c r="E58" t="s">
        <v>16</v>
      </c>
      <c r="F58">
        <v>430127886</v>
      </c>
      <c r="G58">
        <v>803163316</v>
      </c>
      <c r="H58">
        <v>44009</v>
      </c>
      <c r="I58">
        <v>43984</v>
      </c>
      <c r="J58">
        <f>Table13456789101112132345678910[[#This Row],[LOADED LITRES]]-Table13456789101112132345678910[[#This Row],[Offloading Litres]]</f>
        <v>25</v>
      </c>
      <c r="K58" t="s">
        <v>25</v>
      </c>
      <c r="L58">
        <v>76189990</v>
      </c>
      <c r="M58" t="s">
        <v>2148</v>
      </c>
      <c r="N58">
        <v>0.69389999999999996</v>
      </c>
      <c r="O58" s="8">
        <f>Table13456789101112132345678910[[#This Row],[Offloading Litres]]*Table13456789101112132345678910[[#This Row],[Rate]]</f>
        <v>30520.497599999999</v>
      </c>
      <c r="P58" s="9" t="s">
        <v>2055</v>
      </c>
      <c r="Q58" t="s">
        <v>2368</v>
      </c>
    </row>
    <row r="59" spans="1:17" x14ac:dyDescent="0.3">
      <c r="A59" s="7">
        <v>45912</v>
      </c>
      <c r="B59" s="7">
        <v>45914</v>
      </c>
      <c r="C59" t="s">
        <v>23</v>
      </c>
      <c r="D59" t="s">
        <v>349</v>
      </c>
      <c r="E59" t="s">
        <v>617</v>
      </c>
      <c r="F59">
        <v>430218976</v>
      </c>
      <c r="G59">
        <v>803163419</v>
      </c>
      <c r="H59">
        <v>38810</v>
      </c>
      <c r="I59">
        <v>38834</v>
      </c>
      <c r="J59">
        <f>Table13456789101112132345678910[[#This Row],[LOADED LITRES]]-Table13456789101112132345678910[[#This Row],[Offloading Litres]]</f>
        <v>-24</v>
      </c>
      <c r="K59" t="s">
        <v>32</v>
      </c>
      <c r="L59">
        <v>76190054</v>
      </c>
      <c r="M59" t="s">
        <v>2149</v>
      </c>
      <c r="N59">
        <v>0.69330000000000003</v>
      </c>
      <c r="O59" s="8">
        <f>Table13456789101112132345678910[[#This Row],[Offloading Litres]]*Table13456789101112132345678910[[#This Row],[Rate]]</f>
        <v>26923.6122</v>
      </c>
      <c r="P59" s="9" t="s">
        <v>2061</v>
      </c>
      <c r="Q59" t="s">
        <v>2363</v>
      </c>
    </row>
    <row r="60" spans="1:17" x14ac:dyDescent="0.3">
      <c r="A60" s="7">
        <v>45912</v>
      </c>
      <c r="B60" s="7">
        <v>45914</v>
      </c>
      <c r="C60" t="s">
        <v>30</v>
      </c>
      <c r="D60" t="s">
        <v>624</v>
      </c>
      <c r="E60" t="s">
        <v>617</v>
      </c>
      <c r="F60">
        <v>430218951</v>
      </c>
      <c r="G60">
        <v>803163318</v>
      </c>
      <c r="H60">
        <v>38792</v>
      </c>
      <c r="I60">
        <v>38820</v>
      </c>
      <c r="J60">
        <f>Table13456789101112132345678910[[#This Row],[LOADED LITRES]]-Table13456789101112132345678910[[#This Row],[Offloading Litres]]</f>
        <v>-28</v>
      </c>
      <c r="K60" t="s">
        <v>32</v>
      </c>
      <c r="L60">
        <v>76189993</v>
      </c>
      <c r="M60" t="s">
        <v>2150</v>
      </c>
      <c r="N60">
        <v>0.69330000000000003</v>
      </c>
      <c r="O60" s="8">
        <f>Table13456789101112132345678910[[#This Row],[Offloading Litres]]*Table13456789101112132345678910[[#This Row],[Rate]]</f>
        <v>26913.906000000003</v>
      </c>
      <c r="P60" s="9" t="s">
        <v>2062</v>
      </c>
      <c r="Q60" t="s">
        <v>2366</v>
      </c>
    </row>
    <row r="61" spans="1:17" x14ac:dyDescent="0.3">
      <c r="A61" s="7">
        <v>45912</v>
      </c>
      <c r="B61" s="7">
        <v>45913</v>
      </c>
      <c r="C61" t="s">
        <v>29</v>
      </c>
      <c r="D61" t="s">
        <v>24</v>
      </c>
      <c r="E61" t="s">
        <v>617</v>
      </c>
      <c r="F61">
        <v>430218935</v>
      </c>
      <c r="G61">
        <v>803160322</v>
      </c>
      <c r="H61">
        <v>39585</v>
      </c>
      <c r="I61">
        <v>39627</v>
      </c>
      <c r="J61">
        <f>Table13456789101112132345678910[[#This Row],[LOADED LITRES]]-Table13456789101112132345678910[[#This Row],[Offloading Litres]]</f>
        <v>-42</v>
      </c>
      <c r="K61" t="s">
        <v>32</v>
      </c>
      <c r="L61">
        <v>76186010</v>
      </c>
      <c r="M61" t="s">
        <v>2151</v>
      </c>
      <c r="N61">
        <v>0.69330000000000003</v>
      </c>
      <c r="O61" s="8">
        <f>Table13456789101112132345678910[[#This Row],[Offloading Litres]]*Table13456789101112132345678910[[#This Row],[Rate]]</f>
        <v>27473.399100000002</v>
      </c>
      <c r="P61" s="9" t="s">
        <v>2063</v>
      </c>
      <c r="Q61" t="s">
        <v>2361</v>
      </c>
    </row>
    <row r="62" spans="1:17" x14ac:dyDescent="0.3">
      <c r="A62" s="7">
        <v>45912</v>
      </c>
      <c r="B62" s="7">
        <v>45913</v>
      </c>
      <c r="C62" t="s">
        <v>21</v>
      </c>
      <c r="D62" t="s">
        <v>27</v>
      </c>
      <c r="E62" t="s">
        <v>617</v>
      </c>
      <c r="F62">
        <v>430218943</v>
      </c>
      <c r="G62">
        <v>803160374</v>
      </c>
      <c r="H62">
        <v>39290</v>
      </c>
      <c r="I62">
        <v>39364</v>
      </c>
      <c r="J62">
        <f>Table13456789101112132345678910[[#This Row],[LOADED LITRES]]-Table13456789101112132345678910[[#This Row],[Offloading Litres]]</f>
        <v>-74</v>
      </c>
      <c r="K62" t="s">
        <v>32</v>
      </c>
      <c r="L62">
        <v>76186039</v>
      </c>
      <c r="M62" t="s">
        <v>2152</v>
      </c>
      <c r="N62">
        <v>0.69330000000000003</v>
      </c>
      <c r="O62" s="8">
        <f>Table13456789101112132345678910[[#This Row],[Offloading Litres]]*Table13456789101112132345678910[[#This Row],[Rate]]</f>
        <v>27291.0612</v>
      </c>
      <c r="P62" s="9" t="s">
        <v>2065</v>
      </c>
      <c r="Q62" t="s">
        <v>2362</v>
      </c>
    </row>
    <row r="63" spans="1:17" x14ac:dyDescent="0.3">
      <c r="A63" s="7">
        <v>45912</v>
      </c>
      <c r="B63" s="7">
        <v>45914</v>
      </c>
      <c r="C63" t="s">
        <v>28</v>
      </c>
      <c r="D63" t="s">
        <v>39</v>
      </c>
      <c r="E63" t="s">
        <v>617</v>
      </c>
      <c r="F63">
        <v>430218965</v>
      </c>
      <c r="G63">
        <v>803163224</v>
      </c>
      <c r="H63">
        <v>39577</v>
      </c>
      <c r="I63">
        <v>39591</v>
      </c>
      <c r="J63">
        <f>Table13456789101112132345678910[[#This Row],[LOADED LITRES]]-Table13456789101112132345678910[[#This Row],[Offloading Litres]]</f>
        <v>-14</v>
      </c>
      <c r="K63" t="s">
        <v>32</v>
      </c>
      <c r="L63">
        <v>76189645</v>
      </c>
      <c r="M63" t="s">
        <v>2153</v>
      </c>
      <c r="N63">
        <v>0.69330000000000003</v>
      </c>
      <c r="O63" s="8">
        <f>Table13456789101112132345678910[[#This Row],[Offloading Litres]]*Table13456789101112132345678910[[#This Row],[Rate]]</f>
        <v>27448.440300000002</v>
      </c>
      <c r="P63" s="9" t="s">
        <v>2066</v>
      </c>
      <c r="Q63" t="s">
        <v>2360</v>
      </c>
    </row>
    <row r="64" spans="1:17" x14ac:dyDescent="0.3">
      <c r="A64" s="7">
        <v>45913</v>
      </c>
      <c r="B64" s="7">
        <v>45915</v>
      </c>
      <c r="C64" t="s">
        <v>103</v>
      </c>
      <c r="D64" t="s">
        <v>15</v>
      </c>
      <c r="E64" t="s">
        <v>16</v>
      </c>
      <c r="F64">
        <v>430127891</v>
      </c>
      <c r="G64">
        <v>803165888</v>
      </c>
      <c r="H64">
        <v>44180</v>
      </c>
      <c r="I64">
        <v>44329</v>
      </c>
      <c r="J64">
        <f>Table13456789101112132345678910[[#This Row],[LOADED LITRES]]-Table13456789101112132345678910[[#This Row],[Offloading Litres]]</f>
        <v>-149</v>
      </c>
      <c r="K64" t="s">
        <v>25</v>
      </c>
      <c r="L64">
        <v>76192739</v>
      </c>
      <c r="M64" t="s">
        <v>2154</v>
      </c>
      <c r="N64">
        <v>0.69389999999999996</v>
      </c>
      <c r="O64" s="8">
        <f>Table13456789101112132345678910[[#This Row],[Offloading Litres]]*Table13456789101112132345678910[[#This Row],[Rate]]</f>
        <v>30759.893099999998</v>
      </c>
      <c r="P64" s="9" t="s">
        <v>2053</v>
      </c>
      <c r="Q64" t="s">
        <v>2369</v>
      </c>
    </row>
    <row r="65" spans="1:17" s="32" customFormat="1" x14ac:dyDescent="0.3">
      <c r="A65" s="31">
        <v>45913</v>
      </c>
      <c r="B65" s="31">
        <v>45914</v>
      </c>
      <c r="C65" s="32" t="s">
        <v>17</v>
      </c>
      <c r="D65" s="32" t="s">
        <v>19</v>
      </c>
      <c r="E65" s="32" t="s">
        <v>2224</v>
      </c>
      <c r="F65" s="32">
        <v>430297324</v>
      </c>
      <c r="G65" s="32">
        <v>803165100</v>
      </c>
      <c r="H65" s="32">
        <v>38786</v>
      </c>
      <c r="I65" s="32">
        <v>38786</v>
      </c>
      <c r="J65" s="32">
        <f>Table13456789101112132345678910[[#This Row],[LOADED LITRES]]-Table13456789101112132345678910[[#This Row],[Offloading Litres]]</f>
        <v>0</v>
      </c>
      <c r="K65" s="32" t="s">
        <v>32</v>
      </c>
      <c r="L65" s="17" t="s">
        <v>2280</v>
      </c>
      <c r="M65" s="32" t="s">
        <v>2296</v>
      </c>
      <c r="N65" s="32">
        <v>0.56769999999999998</v>
      </c>
      <c r="O65" s="33">
        <f>Table13456789101112132345678910[[#This Row],[Offloading Litres]]*Table13456789101112132345678910[[#This Row],[Rate]]</f>
        <v>22018.8122</v>
      </c>
      <c r="P65" s="34" t="s">
        <v>2064</v>
      </c>
      <c r="Q65" s="32" t="s">
        <v>2364</v>
      </c>
    </row>
    <row r="66" spans="1:17" x14ac:dyDescent="0.3">
      <c r="A66" s="7">
        <v>45914</v>
      </c>
      <c r="B66" s="7">
        <v>45914</v>
      </c>
      <c r="C66" t="s">
        <v>29</v>
      </c>
      <c r="D66" t="s">
        <v>24</v>
      </c>
      <c r="E66" t="s">
        <v>16</v>
      </c>
      <c r="F66">
        <v>430128344</v>
      </c>
      <c r="G66">
        <v>803166233</v>
      </c>
      <c r="H66">
        <v>44150</v>
      </c>
      <c r="I66">
        <v>44067</v>
      </c>
      <c r="J66">
        <f>Table13456789101112132345678910[[#This Row],[LOADED LITRES]]-Table13456789101112132345678910[[#This Row],[Offloading Litres]]</f>
        <v>83</v>
      </c>
      <c r="K66" t="s">
        <v>25</v>
      </c>
      <c r="L66">
        <v>76193059</v>
      </c>
      <c r="M66" t="s">
        <v>2155</v>
      </c>
      <c r="N66">
        <v>0.69389999999999996</v>
      </c>
      <c r="O66" s="8">
        <f>Table13456789101112132345678910[[#This Row],[Offloading Litres]]*Table13456789101112132345678910[[#This Row],[Rate]]</f>
        <v>30578.0913</v>
      </c>
      <c r="P66" s="9" t="s">
        <v>2056</v>
      </c>
      <c r="Q66" t="s">
        <v>2371</v>
      </c>
    </row>
    <row r="67" spans="1:17" x14ac:dyDescent="0.3">
      <c r="A67" s="7">
        <v>45914</v>
      </c>
      <c r="B67" s="7">
        <v>45916</v>
      </c>
      <c r="C67" t="s">
        <v>21</v>
      </c>
      <c r="D67" t="s">
        <v>27</v>
      </c>
      <c r="E67" t="s">
        <v>16</v>
      </c>
      <c r="F67">
        <v>430128351</v>
      </c>
      <c r="G67">
        <v>803166305</v>
      </c>
      <c r="H67">
        <v>44657</v>
      </c>
      <c r="I67">
        <v>44578</v>
      </c>
      <c r="J67">
        <f>Table13456789101112132345678910[[#This Row],[LOADED LITRES]]-Table13456789101112132345678910[[#This Row],[Offloading Litres]]</f>
        <v>79</v>
      </c>
      <c r="K67" t="s">
        <v>25</v>
      </c>
      <c r="L67">
        <v>76193203</v>
      </c>
      <c r="M67" t="s">
        <v>2156</v>
      </c>
      <c r="N67">
        <v>0.69389999999999996</v>
      </c>
      <c r="O67" s="8">
        <f>Table13456789101112132345678910[[#This Row],[Offloading Litres]]*Table13456789101112132345678910[[#This Row],[Rate]]</f>
        <v>30932.674199999998</v>
      </c>
      <c r="P67" s="9" t="s">
        <v>2059</v>
      </c>
      <c r="Q67" t="s">
        <v>2370</v>
      </c>
    </row>
    <row r="68" spans="1:17" x14ac:dyDescent="0.3">
      <c r="A68" s="7">
        <v>45915</v>
      </c>
      <c r="B68" s="7">
        <v>45916</v>
      </c>
      <c r="C68" t="s">
        <v>23</v>
      </c>
      <c r="D68" t="s">
        <v>349</v>
      </c>
      <c r="E68" t="s">
        <v>617</v>
      </c>
      <c r="F68">
        <v>430354741</v>
      </c>
      <c r="G68">
        <v>803167646</v>
      </c>
      <c r="H68">
        <v>38812</v>
      </c>
      <c r="I68">
        <v>38878</v>
      </c>
      <c r="J68">
        <f>Table13456789101112132345678910[[#This Row],[LOADED LITRES]]-Table13456789101112132345678910[[#This Row],[Offloading Litres]]</f>
        <v>-66</v>
      </c>
      <c r="K68" t="s">
        <v>32</v>
      </c>
      <c r="L68">
        <v>76194481</v>
      </c>
      <c r="M68" t="s">
        <v>2157</v>
      </c>
      <c r="N68">
        <v>0.68740000000000001</v>
      </c>
      <c r="O68" s="8">
        <f>Table13456789101112132345678910[[#This Row],[Offloading Litres]]*Table13456789101112132345678910[[#This Row],[Rate]]</f>
        <v>26724.7372</v>
      </c>
      <c r="P68" s="9" t="s">
        <v>2041</v>
      </c>
      <c r="Q68" t="s">
        <v>2416</v>
      </c>
    </row>
    <row r="69" spans="1:17" x14ac:dyDescent="0.3">
      <c r="A69" s="7">
        <v>45915</v>
      </c>
      <c r="B69" s="7">
        <v>45916</v>
      </c>
      <c r="C69" t="s">
        <v>17</v>
      </c>
      <c r="D69" t="s">
        <v>19</v>
      </c>
      <c r="E69" t="s">
        <v>617</v>
      </c>
      <c r="F69">
        <v>430354727</v>
      </c>
      <c r="G69">
        <v>803167109</v>
      </c>
      <c r="H69">
        <v>38917</v>
      </c>
      <c r="I69">
        <v>38894</v>
      </c>
      <c r="J69">
        <f>Table13456789101112132345678910[[#This Row],[LOADED LITRES]]-Table13456789101112132345678910[[#This Row],[Offloading Litres]]</f>
        <v>23</v>
      </c>
      <c r="K69" t="s">
        <v>32</v>
      </c>
      <c r="L69">
        <v>76193768</v>
      </c>
      <c r="M69" t="s">
        <v>2158</v>
      </c>
      <c r="N69">
        <v>0.68740000000000001</v>
      </c>
      <c r="O69" s="8">
        <f>Table13456789101112132345678910[[#This Row],[Offloading Litres]]*Table13456789101112132345678910[[#This Row],[Rate]]</f>
        <v>26735.7356</v>
      </c>
      <c r="P69" s="9" t="s">
        <v>2051</v>
      </c>
      <c r="Q69" t="s">
        <v>2373</v>
      </c>
    </row>
    <row r="70" spans="1:17" x14ac:dyDescent="0.3">
      <c r="A70" s="7">
        <v>45915</v>
      </c>
      <c r="B70" s="7">
        <v>45915</v>
      </c>
      <c r="C70" t="s">
        <v>28</v>
      </c>
      <c r="D70" t="s">
        <v>39</v>
      </c>
      <c r="E70" t="s">
        <v>617</v>
      </c>
      <c r="F70">
        <v>430354729</v>
      </c>
      <c r="G70">
        <v>803167108</v>
      </c>
      <c r="H70">
        <v>39709</v>
      </c>
      <c r="I70">
        <v>39787</v>
      </c>
      <c r="J70">
        <f>Table13456789101112132345678910[[#This Row],[LOADED LITRES]]-Table13456789101112132345678910[[#This Row],[Offloading Litres]]</f>
        <v>-78</v>
      </c>
      <c r="K70" t="s">
        <v>32</v>
      </c>
      <c r="L70">
        <v>76193767</v>
      </c>
      <c r="M70" t="s">
        <v>2159</v>
      </c>
      <c r="N70">
        <v>0.68740000000000001</v>
      </c>
      <c r="O70" s="8">
        <f>Table13456789101112132345678910[[#This Row],[Offloading Litres]]*Table13456789101112132345678910[[#This Row],[Rate]]</f>
        <v>27349.5838</v>
      </c>
      <c r="P70" s="9" t="s">
        <v>2052</v>
      </c>
      <c r="Q70" t="s">
        <v>2372</v>
      </c>
    </row>
    <row r="71" spans="1:17" x14ac:dyDescent="0.3">
      <c r="A71" s="7">
        <v>45915</v>
      </c>
      <c r="B71" s="7">
        <v>45916</v>
      </c>
      <c r="C71" t="s">
        <v>30</v>
      </c>
      <c r="D71" t="s">
        <v>624</v>
      </c>
      <c r="E71" t="s">
        <v>617</v>
      </c>
      <c r="F71">
        <v>430354742</v>
      </c>
      <c r="G71">
        <v>803167195</v>
      </c>
      <c r="H71">
        <v>38875</v>
      </c>
      <c r="I71">
        <v>38913</v>
      </c>
      <c r="J71">
        <f>Table13456789101112132345678910[[#This Row],[LOADED LITRES]]-Table13456789101112132345678910[[#This Row],[Offloading Litres]]</f>
        <v>-38</v>
      </c>
      <c r="K71" t="s">
        <v>32</v>
      </c>
      <c r="L71">
        <v>76193932</v>
      </c>
      <c r="M71" t="s">
        <v>2160</v>
      </c>
      <c r="N71">
        <v>0.68740000000000001</v>
      </c>
      <c r="O71" s="8">
        <f>Table13456789101112132345678910[[#This Row],[Offloading Litres]]*Table13456789101112132345678910[[#This Row],[Rate]]</f>
        <v>26748.796200000001</v>
      </c>
      <c r="P71" s="9" t="s">
        <v>2057</v>
      </c>
      <c r="Q71" t="s">
        <v>2374</v>
      </c>
    </row>
    <row r="72" spans="1:17" x14ac:dyDescent="0.3">
      <c r="A72" s="7">
        <v>45916</v>
      </c>
      <c r="B72" s="7">
        <v>45917</v>
      </c>
      <c r="C72" t="s">
        <v>34</v>
      </c>
      <c r="D72" t="s">
        <v>286</v>
      </c>
      <c r="E72" t="s">
        <v>617</v>
      </c>
      <c r="F72">
        <v>430354744</v>
      </c>
      <c r="G72">
        <v>803177258</v>
      </c>
      <c r="H72">
        <v>38799</v>
      </c>
      <c r="I72">
        <v>38910</v>
      </c>
      <c r="J72">
        <f>Table13456789101112132345678910[[#This Row],[LOADED LITRES]]-Table13456789101112132345678910[[#This Row],[Offloading Litres]]</f>
        <v>-111</v>
      </c>
      <c r="K72" t="s">
        <v>32</v>
      </c>
      <c r="L72">
        <v>76203609</v>
      </c>
      <c r="M72" t="s">
        <v>2306</v>
      </c>
      <c r="N72">
        <v>0.68740000000000001</v>
      </c>
      <c r="O72" s="8">
        <f>Table13456789101112132345678910[[#This Row],[Offloading Litres]]*Table13456789101112132345678910[[#This Row],[Rate]]</f>
        <v>26746.734</v>
      </c>
      <c r="P72" s="9" t="s">
        <v>2303</v>
      </c>
      <c r="Q72" t="s">
        <v>2380</v>
      </c>
    </row>
    <row r="73" spans="1:17" x14ac:dyDescent="0.3">
      <c r="A73" s="7">
        <v>45916</v>
      </c>
      <c r="B73" s="7">
        <v>45917</v>
      </c>
      <c r="C73" t="s">
        <v>103</v>
      </c>
      <c r="D73" t="s">
        <v>15</v>
      </c>
      <c r="E73" t="s">
        <v>617</v>
      </c>
      <c r="F73">
        <v>430354745</v>
      </c>
      <c r="G73">
        <v>803177739</v>
      </c>
      <c r="H73">
        <v>39355</v>
      </c>
      <c r="I73">
        <v>39568</v>
      </c>
      <c r="J73">
        <f>Table13456789101112132345678910[[#This Row],[LOADED LITRES]]-Table13456789101112132345678910[[#This Row],[Offloading Litres]]</f>
        <v>-213</v>
      </c>
      <c r="K73" t="s">
        <v>32</v>
      </c>
      <c r="L73">
        <v>76204037</v>
      </c>
      <c r="M73" t="s">
        <v>2305</v>
      </c>
      <c r="N73">
        <v>0.68740000000000001</v>
      </c>
      <c r="O73" s="8">
        <f>Table13456789101112132345678910[[#This Row],[Offloading Litres]]*Table13456789101112132345678910[[#This Row],[Rate]]</f>
        <v>27199.0432</v>
      </c>
      <c r="P73" s="9" t="s">
        <v>2302</v>
      </c>
      <c r="Q73" t="s">
        <v>2378</v>
      </c>
    </row>
    <row r="74" spans="1:17" x14ac:dyDescent="0.3">
      <c r="A74" s="7">
        <v>45916</v>
      </c>
      <c r="B74" s="7">
        <v>45917</v>
      </c>
      <c r="C74" t="s">
        <v>22</v>
      </c>
      <c r="D74" t="s">
        <v>26</v>
      </c>
      <c r="E74" t="s">
        <v>16</v>
      </c>
      <c r="F74">
        <v>430127897</v>
      </c>
      <c r="G74">
        <v>803176899</v>
      </c>
      <c r="H74">
        <v>39747</v>
      </c>
      <c r="I74">
        <v>39817</v>
      </c>
      <c r="J74">
        <f>Table13456789101112132345678910[[#This Row],[LOADED LITRES]]-Table13456789101112132345678910[[#This Row],[Offloading Litres]]</f>
        <v>-70</v>
      </c>
      <c r="K74" t="s">
        <v>32</v>
      </c>
      <c r="L74">
        <v>76203214</v>
      </c>
      <c r="M74" t="s">
        <v>2161</v>
      </c>
      <c r="N74">
        <v>0.68799999999999994</v>
      </c>
      <c r="O74" s="8">
        <f>Table13456789101112132345678910[[#This Row],[Offloading Litres]]*Table13456789101112132345678910[[#This Row],[Rate]]</f>
        <v>27394.095999999998</v>
      </c>
      <c r="P74" s="9" t="s">
        <v>2112</v>
      </c>
      <c r="Q74" t="s">
        <v>2379</v>
      </c>
    </row>
    <row r="75" spans="1:17" x14ac:dyDescent="0.3">
      <c r="A75" s="7">
        <v>45916</v>
      </c>
      <c r="B75" s="7">
        <v>45918</v>
      </c>
      <c r="C75" t="s">
        <v>28</v>
      </c>
      <c r="D75" t="s">
        <v>39</v>
      </c>
      <c r="E75" t="s">
        <v>2044</v>
      </c>
      <c r="F75">
        <v>430128685</v>
      </c>
      <c r="G75">
        <v>803177381</v>
      </c>
      <c r="H75">
        <v>44362</v>
      </c>
      <c r="I75">
        <v>43950</v>
      </c>
      <c r="J75">
        <f>Table13456789101112132345678910[[#This Row],[LOADED LITRES]]-Table13456789101112132345678910[[#This Row],[Offloading Litres]]</f>
        <v>412</v>
      </c>
      <c r="K75" t="s">
        <v>25</v>
      </c>
      <c r="L75">
        <v>76203766</v>
      </c>
      <c r="M75" t="s">
        <v>2162</v>
      </c>
      <c r="N75">
        <v>0.68799999999999994</v>
      </c>
      <c r="O75" s="8">
        <f>Table13456789101112132345678910[[#This Row],[Offloading Litres]]*Table13456789101112132345678910[[#This Row],[Rate]]</f>
        <v>30237.599999999999</v>
      </c>
      <c r="P75" s="9" t="s">
        <v>2045</v>
      </c>
      <c r="Q75" t="s">
        <v>2377</v>
      </c>
    </row>
    <row r="76" spans="1:17" x14ac:dyDescent="0.3">
      <c r="A76" s="7">
        <v>45916</v>
      </c>
      <c r="B76" s="7">
        <v>45917</v>
      </c>
      <c r="C76" t="s">
        <v>17</v>
      </c>
      <c r="D76" t="s">
        <v>19</v>
      </c>
      <c r="E76" t="s">
        <v>617</v>
      </c>
      <c r="F76">
        <v>430354743</v>
      </c>
      <c r="G76">
        <v>803177761</v>
      </c>
      <c r="H76">
        <v>38858</v>
      </c>
      <c r="I76">
        <v>38934</v>
      </c>
      <c r="J76">
        <f>Table13456789101112132345678910[[#This Row],[LOADED LITRES]]-Table13456789101112132345678910[[#This Row],[Offloading Litres]]</f>
        <v>-76</v>
      </c>
      <c r="K76" t="s">
        <v>32</v>
      </c>
      <c r="L76">
        <v>76204061</v>
      </c>
      <c r="M76" t="s">
        <v>2163</v>
      </c>
      <c r="N76">
        <v>0.68740000000000001</v>
      </c>
      <c r="O76" s="8">
        <f>Table13456789101112132345678910[[#This Row],[Offloading Litres]]*Table13456789101112132345678910[[#This Row],[Rate]]</f>
        <v>26763.231599999999</v>
      </c>
      <c r="P76" s="9" t="s">
        <v>2050</v>
      </c>
      <c r="Q76" t="s">
        <v>2729</v>
      </c>
    </row>
    <row r="77" spans="1:17" x14ac:dyDescent="0.3">
      <c r="A77" s="7">
        <v>45916</v>
      </c>
      <c r="B77" s="7">
        <v>45917</v>
      </c>
      <c r="C77" t="s">
        <v>21</v>
      </c>
      <c r="D77" t="s">
        <v>27</v>
      </c>
      <c r="E77" t="s">
        <v>16</v>
      </c>
      <c r="F77">
        <v>430128990</v>
      </c>
      <c r="G77">
        <v>803177746</v>
      </c>
      <c r="H77">
        <v>39356</v>
      </c>
      <c r="I77">
        <v>39379</v>
      </c>
      <c r="J77">
        <f>Table13456789101112132345678910[[#This Row],[LOADED LITRES]]-Table13456789101112132345678910[[#This Row],[Offloading Litres]]</f>
        <v>-23</v>
      </c>
      <c r="K77" t="s">
        <v>32</v>
      </c>
      <c r="L77">
        <v>76204039</v>
      </c>
      <c r="M77" t="s">
        <v>2164</v>
      </c>
      <c r="N77">
        <v>0.68799999999999994</v>
      </c>
      <c r="O77" s="8">
        <f>Table13456789101112132345678910[[#This Row],[Offloading Litres]]*Table13456789101112132345678910[[#This Row],[Rate]]</f>
        <v>27092.751999999997</v>
      </c>
      <c r="P77" s="9" t="s">
        <v>2111</v>
      </c>
      <c r="Q77" t="s">
        <v>2375</v>
      </c>
    </row>
    <row r="78" spans="1:17" x14ac:dyDescent="0.3">
      <c r="A78" s="7">
        <v>45916</v>
      </c>
      <c r="B78" s="7">
        <v>45917</v>
      </c>
      <c r="C78" t="s">
        <v>29</v>
      </c>
      <c r="D78" t="s">
        <v>24</v>
      </c>
      <c r="E78" t="s">
        <v>16</v>
      </c>
      <c r="F78">
        <v>430128650</v>
      </c>
      <c r="G78">
        <v>803177375</v>
      </c>
      <c r="H78">
        <v>44136</v>
      </c>
      <c r="I78">
        <v>44217</v>
      </c>
      <c r="J78">
        <f>Table13456789101112132345678910[[#This Row],[LOADED LITRES]]-Table13456789101112132345678910[[#This Row],[Offloading Litres]]</f>
        <v>-81</v>
      </c>
      <c r="K78" t="s">
        <v>25</v>
      </c>
      <c r="L78">
        <v>76203760</v>
      </c>
      <c r="M78" t="s">
        <v>2165</v>
      </c>
      <c r="N78">
        <v>0.68799999999999994</v>
      </c>
      <c r="O78" s="8">
        <f>Table13456789101112132345678910[[#This Row],[Offloading Litres]]*Table13456789101112132345678910[[#This Row],[Rate]]</f>
        <v>30421.295999999998</v>
      </c>
      <c r="P78" s="9" t="s">
        <v>2110</v>
      </c>
      <c r="Q78" t="s">
        <v>2376</v>
      </c>
    </row>
    <row r="79" spans="1:17" x14ac:dyDescent="0.3">
      <c r="A79" s="7">
        <v>45917</v>
      </c>
      <c r="B79" s="7">
        <v>45918</v>
      </c>
      <c r="C79" t="s">
        <v>30</v>
      </c>
      <c r="D79" t="s">
        <v>624</v>
      </c>
      <c r="E79" t="s">
        <v>16</v>
      </c>
      <c r="F79">
        <v>430340256</v>
      </c>
      <c r="G79">
        <v>803181056</v>
      </c>
      <c r="H79">
        <v>44007</v>
      </c>
      <c r="I79">
        <v>43880</v>
      </c>
      <c r="J79">
        <f>Table13456789101112132345678910[[#This Row],[LOADED LITRES]]-Table13456789101112132345678910[[#This Row],[Offloading Litres]]</f>
        <v>127</v>
      </c>
      <c r="K79" t="s">
        <v>25</v>
      </c>
      <c r="L79">
        <v>76207159</v>
      </c>
      <c r="M79" t="s">
        <v>2166</v>
      </c>
      <c r="N79">
        <v>0.68799999999999994</v>
      </c>
      <c r="O79" s="8">
        <f>Table13456789101112132345678910[[#This Row],[Offloading Litres]]*Table13456789101112132345678910[[#This Row],[Rate]]</f>
        <v>30189.439999999999</v>
      </c>
      <c r="P79" s="9" t="s">
        <v>2042</v>
      </c>
      <c r="Q79" t="s">
        <v>2386</v>
      </c>
    </row>
    <row r="80" spans="1:17" x14ac:dyDescent="0.3">
      <c r="A80" s="7">
        <v>45918</v>
      </c>
      <c r="B80" s="7">
        <v>45919</v>
      </c>
      <c r="C80" t="s">
        <v>23</v>
      </c>
      <c r="D80" t="s">
        <v>33</v>
      </c>
      <c r="E80" t="s">
        <v>617</v>
      </c>
      <c r="F80">
        <v>430354746</v>
      </c>
      <c r="G80">
        <v>803183658</v>
      </c>
      <c r="H80">
        <v>38765</v>
      </c>
      <c r="I80">
        <v>38672</v>
      </c>
      <c r="J80">
        <f>Table13456789101112132345678910[[#This Row],[LOADED LITRES]]-Table13456789101112132345678910[[#This Row],[Offloading Litres]]</f>
        <v>93</v>
      </c>
      <c r="K80" t="s">
        <v>32</v>
      </c>
      <c r="L80">
        <v>76209686</v>
      </c>
      <c r="M80" t="s">
        <v>2167</v>
      </c>
      <c r="N80">
        <v>0.68740000000000001</v>
      </c>
      <c r="O80" s="8">
        <f>Table13456789101112132345678910[[#This Row],[Offloading Litres]]*Table13456789101112132345678910[[#This Row],[Rate]]</f>
        <v>26583.132799999999</v>
      </c>
      <c r="P80" s="9" t="s">
        <v>2043</v>
      </c>
      <c r="Q80" t="s">
        <v>2384</v>
      </c>
    </row>
    <row r="81" spans="1:17" x14ac:dyDescent="0.3">
      <c r="A81" s="7">
        <v>45918</v>
      </c>
      <c r="B81" s="7">
        <v>45919</v>
      </c>
      <c r="C81" t="s">
        <v>17</v>
      </c>
      <c r="D81" t="s">
        <v>19</v>
      </c>
      <c r="E81" t="s">
        <v>16</v>
      </c>
      <c r="F81">
        <v>430340280</v>
      </c>
      <c r="G81">
        <v>803186095</v>
      </c>
      <c r="H81">
        <v>43997</v>
      </c>
      <c r="I81">
        <v>44029</v>
      </c>
      <c r="J81">
        <f>Table13456789101112132345678910[[#This Row],[LOADED LITRES]]-Table13456789101112132345678910[[#This Row],[Offloading Litres]]</f>
        <v>-32</v>
      </c>
      <c r="K81" t="s">
        <v>25</v>
      </c>
      <c r="L81">
        <v>76212232</v>
      </c>
      <c r="M81" t="s">
        <v>2168</v>
      </c>
      <c r="N81">
        <v>0.68799999999999994</v>
      </c>
      <c r="O81" s="8">
        <f>Table13456789101112132345678910[[#This Row],[Offloading Litres]]*Table13456789101112132345678910[[#This Row],[Rate]]</f>
        <v>30291.951999999997</v>
      </c>
      <c r="P81" s="9" t="s">
        <v>2046</v>
      </c>
      <c r="Q81" t="s">
        <v>2381</v>
      </c>
    </row>
    <row r="82" spans="1:17" x14ac:dyDescent="0.3">
      <c r="A82" s="7">
        <v>45918</v>
      </c>
      <c r="B82" s="7">
        <v>45919</v>
      </c>
      <c r="C82" t="s">
        <v>1794</v>
      </c>
      <c r="D82" t="s">
        <v>35</v>
      </c>
      <c r="E82" t="s">
        <v>16</v>
      </c>
      <c r="F82">
        <v>430128646</v>
      </c>
      <c r="G82">
        <v>803183063</v>
      </c>
      <c r="H82">
        <v>39826</v>
      </c>
      <c r="I82">
        <v>39790</v>
      </c>
      <c r="J82">
        <f>Table13456789101112132345678910[[#This Row],[LOADED LITRES]]-Table13456789101112132345678910[[#This Row],[Offloading Litres]]</f>
        <v>36</v>
      </c>
      <c r="K82" t="s">
        <v>32</v>
      </c>
      <c r="L82">
        <v>76209014</v>
      </c>
      <c r="M82" t="s">
        <v>2169</v>
      </c>
      <c r="N82">
        <v>0.68799999999999994</v>
      </c>
      <c r="O82" s="8">
        <f>Table13456789101112132345678910[[#This Row],[Offloading Litres]]*Table13456789101112132345678910[[#This Row],[Rate]]</f>
        <v>27375.519999999997</v>
      </c>
      <c r="P82" s="9" t="s">
        <v>2047</v>
      </c>
      <c r="Q82" t="s">
        <v>2387</v>
      </c>
    </row>
    <row r="83" spans="1:17" x14ac:dyDescent="0.3">
      <c r="A83" s="7">
        <v>45918</v>
      </c>
      <c r="B83" s="7">
        <v>45920</v>
      </c>
      <c r="C83" t="s">
        <v>21</v>
      </c>
      <c r="D83" t="s">
        <v>27</v>
      </c>
      <c r="E83" t="s">
        <v>16</v>
      </c>
      <c r="F83">
        <v>430340871</v>
      </c>
      <c r="G83">
        <v>803187199</v>
      </c>
      <c r="H83">
        <v>44633</v>
      </c>
      <c r="I83">
        <v>44760</v>
      </c>
      <c r="J83">
        <f>Table13456789101112132345678910[[#This Row],[LOADED LITRES]]-Table13456789101112132345678910[[#This Row],[Offloading Litres]]</f>
        <v>-127</v>
      </c>
      <c r="K83" t="s">
        <v>25</v>
      </c>
      <c r="L83">
        <v>76213372</v>
      </c>
      <c r="M83" t="s">
        <v>2170</v>
      </c>
      <c r="N83">
        <v>0.68799999999999994</v>
      </c>
      <c r="O83" s="8">
        <f>Table13456789101112132345678910[[#This Row],[Offloading Litres]]*Table13456789101112132345678910[[#This Row],[Rate]]</f>
        <v>30794.879999999997</v>
      </c>
      <c r="P83" s="9" t="s">
        <v>2048</v>
      </c>
      <c r="Q83" t="s">
        <v>2388</v>
      </c>
    </row>
    <row r="84" spans="1:17" x14ac:dyDescent="0.3">
      <c r="A84" s="7">
        <v>45918</v>
      </c>
      <c r="B84" s="7">
        <v>45920</v>
      </c>
      <c r="C84" t="s">
        <v>34</v>
      </c>
      <c r="D84" t="s">
        <v>15</v>
      </c>
      <c r="E84" t="s">
        <v>16</v>
      </c>
      <c r="F84">
        <v>430341421</v>
      </c>
      <c r="G84">
        <v>803186746</v>
      </c>
      <c r="H84">
        <v>38760</v>
      </c>
      <c r="I84">
        <v>38925</v>
      </c>
      <c r="J84">
        <f>Table13456789101112132345678910[[#This Row],[LOADED LITRES]]-Table13456789101112132345678910[[#This Row],[Offloading Litres]]</f>
        <v>-165</v>
      </c>
      <c r="K84" t="s">
        <v>32</v>
      </c>
      <c r="L84">
        <v>76212899</v>
      </c>
      <c r="M84" t="s">
        <v>2171</v>
      </c>
      <c r="N84">
        <v>0.68799999999999994</v>
      </c>
      <c r="O84" s="8">
        <f>Table13456789101112132345678910[[#This Row],[Offloading Litres]]*Table13456789101112132345678910[[#This Row],[Rate]]</f>
        <v>26780.399999999998</v>
      </c>
      <c r="P84" s="9" t="s">
        <v>2049</v>
      </c>
      <c r="Q84" t="s">
        <v>2375</v>
      </c>
    </row>
    <row r="85" spans="1:17" x14ac:dyDescent="0.3">
      <c r="A85" s="7">
        <v>45918</v>
      </c>
      <c r="B85" s="7">
        <v>45920</v>
      </c>
      <c r="C85" t="s">
        <v>29</v>
      </c>
      <c r="D85" t="s">
        <v>24</v>
      </c>
      <c r="E85" t="s">
        <v>2070</v>
      </c>
      <c r="F85" s="35" t="s">
        <v>2172</v>
      </c>
      <c r="G85">
        <v>803186738</v>
      </c>
      <c r="H85">
        <v>39550</v>
      </c>
      <c r="I85">
        <v>39652</v>
      </c>
      <c r="J85">
        <f>Table13456789101112132345678910[[#This Row],[LOADED LITRES]]-Table13456789101112132345678910[[#This Row],[Offloading Litres]]</f>
        <v>-102</v>
      </c>
      <c r="K85" t="s">
        <v>32</v>
      </c>
      <c r="L85">
        <v>76212894</v>
      </c>
      <c r="M85" t="s">
        <v>2173</v>
      </c>
      <c r="N85">
        <v>0.68740000000000001</v>
      </c>
      <c r="O85" s="8">
        <f>Table13456789101112132345678910[[#This Row],[Offloading Litres]]*Table13456789101112132345678910[[#This Row],[Rate]]</f>
        <v>27256.784800000001</v>
      </c>
      <c r="P85" s="9" t="s">
        <v>2071</v>
      </c>
      <c r="Q85" t="s">
        <v>2389</v>
      </c>
    </row>
    <row r="86" spans="1:17" x14ac:dyDescent="0.3">
      <c r="A86" s="7">
        <v>45918</v>
      </c>
      <c r="B86" s="7">
        <v>45923</v>
      </c>
      <c r="C86" t="s">
        <v>103</v>
      </c>
      <c r="D86" t="s">
        <v>286</v>
      </c>
      <c r="E86" t="s">
        <v>16</v>
      </c>
      <c r="F86">
        <v>430340417</v>
      </c>
      <c r="G86">
        <v>803186755</v>
      </c>
      <c r="H86">
        <v>44135</v>
      </c>
      <c r="I86">
        <v>43959</v>
      </c>
      <c r="J86">
        <f>Table13456789101112132345678910[[#This Row],[LOADED LITRES]]-Table13456789101112132345678910[[#This Row],[Offloading Litres]]</f>
        <v>176</v>
      </c>
      <c r="K86" t="s">
        <v>25</v>
      </c>
      <c r="L86">
        <v>76212923</v>
      </c>
      <c r="M86" t="s">
        <v>2174</v>
      </c>
      <c r="N86">
        <v>0.68799999999999994</v>
      </c>
      <c r="O86" s="8">
        <f>Table13456789101112132345678910[[#This Row],[Offloading Litres]]*Table13456789101112132345678910[[#This Row],[Rate]]</f>
        <v>30243.791999999998</v>
      </c>
      <c r="P86" s="9" t="s">
        <v>2082</v>
      </c>
      <c r="Q86" t="s">
        <v>2383</v>
      </c>
    </row>
    <row r="87" spans="1:17" x14ac:dyDescent="0.3">
      <c r="A87" s="7">
        <v>45918</v>
      </c>
      <c r="B87" s="7">
        <v>45920</v>
      </c>
      <c r="C87" t="s">
        <v>22</v>
      </c>
      <c r="D87" t="s">
        <v>26</v>
      </c>
      <c r="E87" t="s">
        <v>617</v>
      </c>
      <c r="F87">
        <v>430354885</v>
      </c>
      <c r="G87">
        <v>803187240</v>
      </c>
      <c r="H87">
        <v>39779</v>
      </c>
      <c r="I87">
        <v>39872</v>
      </c>
      <c r="J87">
        <f>Table13456789101112132345678910[[#This Row],[LOADED LITRES]]-Table13456789101112132345678910[[#This Row],[Offloading Litres]]</f>
        <v>-93</v>
      </c>
      <c r="K87" t="s">
        <v>32</v>
      </c>
      <c r="L87">
        <v>76213410</v>
      </c>
      <c r="M87" t="s">
        <v>2175</v>
      </c>
      <c r="N87">
        <v>0.68740000000000001</v>
      </c>
      <c r="O87" s="8">
        <f>Table13456789101112132345678910[[#This Row],[Offloading Litres]]*Table13456789101112132345678910[[#This Row],[Rate]]</f>
        <v>27408.0128</v>
      </c>
      <c r="P87" s="9" t="s">
        <v>2072</v>
      </c>
      <c r="Q87" t="s">
        <v>2385</v>
      </c>
    </row>
    <row r="88" spans="1:17" x14ac:dyDescent="0.3">
      <c r="A88" s="7">
        <v>45919</v>
      </c>
      <c r="B88" s="7">
        <v>45921</v>
      </c>
      <c r="C88" t="s">
        <v>23</v>
      </c>
      <c r="D88" t="s">
        <v>33</v>
      </c>
      <c r="E88" t="s">
        <v>40</v>
      </c>
      <c r="F88">
        <v>430295527</v>
      </c>
      <c r="G88">
        <v>803192194</v>
      </c>
      <c r="H88">
        <v>38833</v>
      </c>
      <c r="I88">
        <v>38832</v>
      </c>
      <c r="J88">
        <f>Table13456789101112132345678910[[#This Row],[LOADED LITRES]]-Table13456789101112132345678910[[#This Row],[Offloading Litres]]</f>
        <v>1</v>
      </c>
      <c r="K88" t="s">
        <v>32</v>
      </c>
      <c r="L88">
        <v>76219078</v>
      </c>
      <c r="M88" t="s">
        <v>2176</v>
      </c>
      <c r="N88">
        <v>0.74390000000000001</v>
      </c>
      <c r="O88" s="8">
        <f>Table13456789101112132345678910[[#This Row],[Offloading Litres]]*Table13456789101112132345678910[[#This Row],[Rate]]</f>
        <v>28887.124800000001</v>
      </c>
      <c r="P88" s="9" t="s">
        <v>2073</v>
      </c>
      <c r="Q88" t="s">
        <v>2415</v>
      </c>
    </row>
    <row r="89" spans="1:17" x14ac:dyDescent="0.3">
      <c r="A89" s="7">
        <v>45920</v>
      </c>
      <c r="B89" s="7">
        <v>45921</v>
      </c>
      <c r="C89" t="s">
        <v>30</v>
      </c>
      <c r="D89" t="s">
        <v>624</v>
      </c>
      <c r="E89" t="s">
        <v>40</v>
      </c>
      <c r="F89">
        <v>430295526</v>
      </c>
      <c r="G89">
        <v>803192255</v>
      </c>
      <c r="H89">
        <v>38842</v>
      </c>
      <c r="I89">
        <v>38882</v>
      </c>
      <c r="J89">
        <f>Table13456789101112132345678910[[#This Row],[LOADED LITRES]]-Table13456789101112132345678910[[#This Row],[Offloading Litres]]</f>
        <v>-40</v>
      </c>
      <c r="K89" t="s">
        <v>32</v>
      </c>
      <c r="L89">
        <v>76219175</v>
      </c>
      <c r="M89" t="s">
        <v>2177</v>
      </c>
      <c r="N89">
        <v>0.74390000000000001</v>
      </c>
      <c r="O89" s="8">
        <f>Table13456789101112132345678910[[#This Row],[Offloading Litres]]*Table13456789101112132345678910[[#This Row],[Rate]]</f>
        <v>28924.319800000001</v>
      </c>
      <c r="P89" s="9" t="s">
        <v>2076</v>
      </c>
      <c r="Q89" t="s">
        <v>2390</v>
      </c>
    </row>
    <row r="90" spans="1:17" x14ac:dyDescent="0.3">
      <c r="A90" s="7">
        <v>45920</v>
      </c>
      <c r="B90" s="7">
        <v>45921</v>
      </c>
      <c r="C90" t="s">
        <v>28</v>
      </c>
      <c r="D90" t="s">
        <v>39</v>
      </c>
      <c r="E90" t="s">
        <v>40</v>
      </c>
      <c r="F90">
        <v>430557395</v>
      </c>
      <c r="G90">
        <v>803192736</v>
      </c>
      <c r="H90">
        <v>39652</v>
      </c>
      <c r="I90">
        <v>39618</v>
      </c>
      <c r="J90">
        <f>Table13456789101112132345678910[[#This Row],[LOADED LITRES]]-Table13456789101112132345678910[[#This Row],[Offloading Litres]]</f>
        <v>34</v>
      </c>
      <c r="K90" t="s">
        <v>32</v>
      </c>
      <c r="L90">
        <v>76219722</v>
      </c>
      <c r="M90" t="s">
        <v>2178</v>
      </c>
      <c r="N90">
        <v>0.74390000000000001</v>
      </c>
      <c r="O90" s="8">
        <f>Table13456789101112132345678910[[#This Row],[Offloading Litres]]*Table13456789101112132345678910[[#This Row],[Rate]]</f>
        <v>29471.8302</v>
      </c>
      <c r="P90" s="9" t="s">
        <v>2077</v>
      </c>
      <c r="Q90" t="s">
        <v>2392</v>
      </c>
    </row>
    <row r="91" spans="1:17" x14ac:dyDescent="0.3">
      <c r="A91" s="7">
        <v>45920</v>
      </c>
      <c r="B91" s="7">
        <v>45922</v>
      </c>
      <c r="C91" t="s">
        <v>1794</v>
      </c>
      <c r="D91" t="s">
        <v>35</v>
      </c>
      <c r="E91" t="s">
        <v>40</v>
      </c>
      <c r="F91">
        <v>430560137</v>
      </c>
      <c r="G91">
        <v>803193705</v>
      </c>
      <c r="H91">
        <v>44710</v>
      </c>
      <c r="I91">
        <v>44824</v>
      </c>
      <c r="J91">
        <f>Table13456789101112132345678910[[#This Row],[LOADED LITRES]]-Table13456789101112132345678910[[#This Row],[Offloading Litres]]</f>
        <v>-114</v>
      </c>
      <c r="K91" t="s">
        <v>25</v>
      </c>
      <c r="L91">
        <v>76220789</v>
      </c>
      <c r="M91" t="s">
        <v>2179</v>
      </c>
      <c r="N91">
        <v>0.74390000000000001</v>
      </c>
      <c r="O91" s="8">
        <f>Table13456789101112132345678910[[#This Row],[Offloading Litres]]*Table13456789101112132345678910[[#This Row],[Rate]]</f>
        <v>33344.573600000003</v>
      </c>
      <c r="P91" s="9" t="s">
        <v>2078</v>
      </c>
      <c r="Q91" t="s">
        <v>2393</v>
      </c>
    </row>
    <row r="92" spans="1:17" x14ac:dyDescent="0.3">
      <c r="A92" s="7">
        <v>45920</v>
      </c>
      <c r="B92" s="7">
        <v>45922</v>
      </c>
      <c r="C92" t="s">
        <v>21</v>
      </c>
      <c r="D92" t="s">
        <v>27</v>
      </c>
      <c r="E92" t="s">
        <v>40</v>
      </c>
      <c r="F92">
        <v>430557397</v>
      </c>
      <c r="G92">
        <v>803193794</v>
      </c>
      <c r="H92">
        <v>39332</v>
      </c>
      <c r="I92" s="9">
        <v>39476</v>
      </c>
      <c r="J92">
        <f>Table13456789101112132345678910[[#This Row],[LOADED LITRES]]-Table13456789101112132345678910[[#This Row],[Offloading Litres]]</f>
        <v>-144</v>
      </c>
      <c r="K92" t="s">
        <v>32</v>
      </c>
      <c r="L92">
        <v>76220869</v>
      </c>
      <c r="M92" t="s">
        <v>2180</v>
      </c>
      <c r="N92">
        <v>0.74390000000000001</v>
      </c>
      <c r="O92" s="8">
        <f>Table13456789101112132345678910[[#This Row],[Offloading Litres]]*Table13456789101112132345678910[[#This Row],[Rate]]</f>
        <v>29366.196400000001</v>
      </c>
      <c r="P92" s="9" t="s">
        <v>2079</v>
      </c>
      <c r="Q92" t="s">
        <v>2357</v>
      </c>
    </row>
    <row r="93" spans="1:17" x14ac:dyDescent="0.3">
      <c r="A93" s="7">
        <v>45920</v>
      </c>
      <c r="B93" s="7">
        <v>45922</v>
      </c>
      <c r="C93" t="s">
        <v>34</v>
      </c>
      <c r="D93" t="s">
        <v>15</v>
      </c>
      <c r="E93" t="s">
        <v>40</v>
      </c>
      <c r="F93">
        <v>430560139</v>
      </c>
      <c r="G93">
        <v>803194057</v>
      </c>
      <c r="H93">
        <v>44020</v>
      </c>
      <c r="I93">
        <v>44365</v>
      </c>
      <c r="J93">
        <f>Table13456789101112132345678910[[#This Row],[LOADED LITRES]]-Table13456789101112132345678910[[#This Row],[Offloading Litres]]</f>
        <v>-345</v>
      </c>
      <c r="K93" t="s">
        <v>25</v>
      </c>
      <c r="L93">
        <v>76221250</v>
      </c>
      <c r="M93" t="s">
        <v>2181</v>
      </c>
      <c r="N93">
        <v>0.74390000000000001</v>
      </c>
      <c r="O93" s="8">
        <f>Table13456789101112132345678910[[#This Row],[Offloading Litres]]*Table13456789101112132345678910[[#This Row],[Rate]]</f>
        <v>33003.123500000002</v>
      </c>
      <c r="P93" s="9" t="s">
        <v>2080</v>
      </c>
      <c r="Q93" t="s">
        <v>2307</v>
      </c>
    </row>
    <row r="94" spans="1:17" x14ac:dyDescent="0.3">
      <c r="A94" s="7">
        <v>45920</v>
      </c>
      <c r="B94" s="7">
        <v>45922</v>
      </c>
      <c r="C94" t="s">
        <v>17</v>
      </c>
      <c r="D94" t="s">
        <v>19</v>
      </c>
      <c r="E94" t="s">
        <v>40</v>
      </c>
      <c r="F94">
        <v>430557398</v>
      </c>
      <c r="G94">
        <v>803193962</v>
      </c>
      <c r="H94">
        <v>38830</v>
      </c>
      <c r="I94">
        <v>38942</v>
      </c>
      <c r="J94">
        <f>Table13456789101112132345678910[[#This Row],[LOADED LITRES]]-Table13456789101112132345678910[[#This Row],[Offloading Litres]]</f>
        <v>-112</v>
      </c>
      <c r="K94" t="s">
        <v>32</v>
      </c>
      <c r="L94">
        <v>76221046</v>
      </c>
      <c r="M94" t="s">
        <v>2182</v>
      </c>
      <c r="N94">
        <v>0.74390000000000001</v>
      </c>
      <c r="O94" s="8">
        <f>Table13456789101112132345678910[[#This Row],[Offloading Litres]]*Table13456789101112132345678910[[#This Row],[Rate]]</f>
        <v>28968.953799999999</v>
      </c>
      <c r="P94" s="9" t="s">
        <v>2304</v>
      </c>
      <c r="Q94" t="s">
        <v>2391</v>
      </c>
    </row>
    <row r="95" spans="1:17" x14ac:dyDescent="0.3">
      <c r="A95" s="7">
        <v>45921</v>
      </c>
      <c r="B95" s="7">
        <v>45922</v>
      </c>
      <c r="C95" t="s">
        <v>29</v>
      </c>
      <c r="D95" t="s">
        <v>24</v>
      </c>
      <c r="E95" t="s">
        <v>40</v>
      </c>
      <c r="F95">
        <v>430560829</v>
      </c>
      <c r="G95">
        <v>803194198</v>
      </c>
      <c r="H95">
        <v>44132</v>
      </c>
      <c r="I95">
        <v>44553</v>
      </c>
      <c r="J95">
        <f>Table13456789101112132345678910[[#This Row],[LOADED LITRES]]-Table13456789101112132345678910[[#This Row],[Offloading Litres]]</f>
        <v>-421</v>
      </c>
      <c r="K95" t="s">
        <v>25</v>
      </c>
      <c r="L95">
        <v>76221377</v>
      </c>
      <c r="M95" t="s">
        <v>2183</v>
      </c>
      <c r="N95">
        <v>0.74390000000000001</v>
      </c>
      <c r="O95" s="8">
        <f>Table13456789101112132345678910[[#This Row],[Offloading Litres]]*Table13456789101112132345678910[[#This Row],[Rate]]</f>
        <v>33142.976699999999</v>
      </c>
      <c r="P95" s="9" t="s">
        <v>2081</v>
      </c>
      <c r="Q95" t="s">
        <v>2308</v>
      </c>
    </row>
    <row r="96" spans="1:17" x14ac:dyDescent="0.3">
      <c r="A96" s="7">
        <v>45921</v>
      </c>
      <c r="B96" s="7">
        <v>45922</v>
      </c>
      <c r="C96" t="s">
        <v>22</v>
      </c>
      <c r="D96" t="s">
        <v>26</v>
      </c>
      <c r="E96" t="s">
        <v>40</v>
      </c>
      <c r="F96">
        <v>430560141</v>
      </c>
      <c r="G96">
        <v>803194226</v>
      </c>
      <c r="H96">
        <v>44131</v>
      </c>
      <c r="I96">
        <v>44543</v>
      </c>
      <c r="J96">
        <f>Table13456789101112132345678910[[#This Row],[LOADED LITRES]]-Table13456789101112132345678910[[#This Row],[Offloading Litres]]</f>
        <v>-412</v>
      </c>
      <c r="K96" t="s">
        <v>25</v>
      </c>
      <c r="L96">
        <v>76221413</v>
      </c>
      <c r="M96" t="s">
        <v>2184</v>
      </c>
      <c r="N96">
        <v>0.74390000000000001</v>
      </c>
      <c r="O96" s="8">
        <f>Table13456789101112132345678910[[#This Row],[Offloading Litres]]*Table13456789101112132345678910[[#This Row],[Rate]]</f>
        <v>33135.537700000001</v>
      </c>
      <c r="P96" s="9" t="s">
        <v>2083</v>
      </c>
      <c r="Q96" t="s">
        <v>2309</v>
      </c>
    </row>
    <row r="97" spans="1:17" x14ac:dyDescent="0.3">
      <c r="A97" s="7">
        <v>45922</v>
      </c>
      <c r="B97" s="7">
        <v>45923</v>
      </c>
      <c r="C97" t="s">
        <v>30</v>
      </c>
      <c r="D97" t="s">
        <v>624</v>
      </c>
      <c r="E97" t="s">
        <v>16</v>
      </c>
      <c r="F97">
        <v>430341341</v>
      </c>
      <c r="G97">
        <v>803194906</v>
      </c>
      <c r="H97">
        <v>44008</v>
      </c>
      <c r="I97">
        <v>44077</v>
      </c>
      <c r="J97">
        <f>Table13456789101112132345678910[[#This Row],[LOADED LITRES]]-Table13456789101112132345678910[[#This Row],[Offloading Litres]]</f>
        <v>-69</v>
      </c>
      <c r="K97" t="s">
        <v>25</v>
      </c>
      <c r="L97">
        <v>76222195</v>
      </c>
      <c r="M97" t="s">
        <v>2186</v>
      </c>
      <c r="N97">
        <v>0.68799999999999994</v>
      </c>
      <c r="O97" s="8">
        <f>Table13456789101112132345678910[[#This Row],[Offloading Litres]]*Table13456789101112132345678910[[#This Row],[Rate]]</f>
        <v>30324.975999999999</v>
      </c>
      <c r="P97" s="9" t="s">
        <v>2185</v>
      </c>
      <c r="Q97" t="s">
        <v>2312</v>
      </c>
    </row>
    <row r="98" spans="1:17" x14ac:dyDescent="0.3">
      <c r="A98" s="7">
        <v>45922</v>
      </c>
      <c r="B98" s="7">
        <v>45924</v>
      </c>
      <c r="C98" t="s">
        <v>28</v>
      </c>
      <c r="D98" t="s">
        <v>33</v>
      </c>
      <c r="E98" t="s">
        <v>16</v>
      </c>
      <c r="F98">
        <v>430341436</v>
      </c>
      <c r="G98">
        <v>803194921</v>
      </c>
      <c r="H98">
        <v>39610</v>
      </c>
      <c r="I98">
        <v>39549</v>
      </c>
      <c r="J98">
        <f>Table13456789101112132345678910[[#This Row],[LOADED LITRES]]-Table13456789101112132345678910[[#This Row],[Offloading Litres]]</f>
        <v>61</v>
      </c>
      <c r="K98" t="s">
        <v>32</v>
      </c>
      <c r="L98">
        <v>76222216</v>
      </c>
      <c r="M98" t="s">
        <v>2187</v>
      </c>
      <c r="N98">
        <v>0.68799999999999994</v>
      </c>
      <c r="O98" s="8">
        <f>Table13456789101112132345678910[[#This Row],[Offloading Litres]]*Table13456789101112132345678910[[#This Row],[Rate]]</f>
        <v>27209.712</v>
      </c>
      <c r="P98" s="9" t="s">
        <v>2085</v>
      </c>
      <c r="Q98" t="s">
        <v>2401</v>
      </c>
    </row>
    <row r="99" spans="1:17" x14ac:dyDescent="0.3">
      <c r="A99" s="7">
        <v>45922</v>
      </c>
      <c r="B99" s="7">
        <v>45923</v>
      </c>
      <c r="C99" t="s">
        <v>23</v>
      </c>
      <c r="D99" t="s">
        <v>39</v>
      </c>
      <c r="E99" t="s">
        <v>16</v>
      </c>
      <c r="F99">
        <v>430341364</v>
      </c>
      <c r="G99">
        <v>803194923</v>
      </c>
      <c r="H99">
        <v>44023</v>
      </c>
      <c r="I99">
        <v>44085</v>
      </c>
      <c r="J99">
        <f>Table13456789101112132345678910[[#This Row],[LOADED LITRES]]-Table13456789101112132345678910[[#This Row],[Offloading Litres]]</f>
        <v>-62</v>
      </c>
      <c r="K99" t="s">
        <v>25</v>
      </c>
      <c r="L99">
        <v>76222219</v>
      </c>
      <c r="M99" t="s">
        <v>2188</v>
      </c>
      <c r="N99">
        <v>0.68799999999999994</v>
      </c>
      <c r="O99" s="8">
        <f>Table13456789101112132345678910[[#This Row],[Offloading Litres]]*Table13456789101112132345678910[[#This Row],[Rate]]</f>
        <v>30330.479999999996</v>
      </c>
      <c r="P99" s="9" t="s">
        <v>2084</v>
      </c>
      <c r="Q99" t="s">
        <v>2310</v>
      </c>
    </row>
    <row r="100" spans="1:17" x14ac:dyDescent="0.3">
      <c r="A100" s="7">
        <v>45922</v>
      </c>
      <c r="B100" s="7">
        <v>45924</v>
      </c>
      <c r="C100" t="s">
        <v>17</v>
      </c>
      <c r="D100" t="s">
        <v>19</v>
      </c>
      <c r="E100" t="s">
        <v>16</v>
      </c>
      <c r="F100">
        <v>430341450</v>
      </c>
      <c r="G100">
        <v>803200326</v>
      </c>
      <c r="H100">
        <v>38816</v>
      </c>
      <c r="I100">
        <v>38827</v>
      </c>
      <c r="J100">
        <f>Table13456789101112132345678910[[#This Row],[LOADED LITRES]]-Table13456789101112132345678910[[#This Row],[Offloading Litres]]</f>
        <v>-11</v>
      </c>
      <c r="K100" t="s">
        <v>32</v>
      </c>
      <c r="L100">
        <v>76226911</v>
      </c>
      <c r="M100" t="s">
        <v>2189</v>
      </c>
      <c r="N100">
        <v>0.68799999999999994</v>
      </c>
      <c r="O100" s="8">
        <f>Table13456789101112132345678910[[#This Row],[Offloading Litres]]*Table13456789101112132345678910[[#This Row],[Rate]]</f>
        <v>26712.975999999999</v>
      </c>
      <c r="P100" s="9" t="s">
        <v>2086</v>
      </c>
      <c r="Q100" t="s">
        <v>2311</v>
      </c>
    </row>
    <row r="101" spans="1:17" x14ac:dyDescent="0.3">
      <c r="A101" s="7">
        <v>45923</v>
      </c>
      <c r="B101" s="7">
        <v>45924</v>
      </c>
      <c r="C101" t="s">
        <v>1794</v>
      </c>
      <c r="D101" t="s">
        <v>35</v>
      </c>
      <c r="E101" t="s">
        <v>16</v>
      </c>
      <c r="F101">
        <v>430341473</v>
      </c>
      <c r="G101">
        <v>803202897</v>
      </c>
      <c r="H101">
        <v>39871</v>
      </c>
      <c r="I101">
        <v>39760</v>
      </c>
      <c r="J101">
        <f>Table13456789101112132345678910[[#This Row],[LOADED LITRES]]-Table13456789101112132345678910[[#This Row],[Offloading Litres]]</f>
        <v>111</v>
      </c>
      <c r="K101" t="s">
        <v>32</v>
      </c>
      <c r="L101">
        <v>76227390</v>
      </c>
      <c r="M101" t="s">
        <v>2190</v>
      </c>
      <c r="N101">
        <v>0.68799999999999994</v>
      </c>
      <c r="O101" s="8">
        <f>Table13456789101112132345678910[[#This Row],[Offloading Litres]]*Table13456789101112132345678910[[#This Row],[Rate]]</f>
        <v>27354.879999999997</v>
      </c>
      <c r="P101" s="9" t="s">
        <v>2087</v>
      </c>
      <c r="Q101" t="s">
        <v>2313</v>
      </c>
    </row>
    <row r="102" spans="1:17" x14ac:dyDescent="0.3">
      <c r="A102" s="7">
        <v>45923</v>
      </c>
      <c r="B102" s="7">
        <v>45925</v>
      </c>
      <c r="C102" t="s">
        <v>21</v>
      </c>
      <c r="D102" t="s">
        <v>27</v>
      </c>
      <c r="E102" t="s">
        <v>16</v>
      </c>
      <c r="F102">
        <v>430341394</v>
      </c>
      <c r="G102">
        <v>803203243</v>
      </c>
      <c r="H102">
        <v>44672</v>
      </c>
      <c r="I102">
        <v>44561</v>
      </c>
      <c r="J102">
        <f>Table13456789101112132345678910[[#This Row],[LOADED LITRES]]-Table13456789101112132345678910[[#This Row],[Offloading Litres]]</f>
        <v>111</v>
      </c>
      <c r="K102" t="s">
        <v>25</v>
      </c>
      <c r="L102">
        <v>76227659</v>
      </c>
      <c r="M102" t="s">
        <v>2191</v>
      </c>
      <c r="N102">
        <v>0.68799999999999994</v>
      </c>
      <c r="O102" s="8">
        <f>Table13456789101112132345678910[[#This Row],[Offloading Litres]]*Table13456789101112132345678910[[#This Row],[Rate]]</f>
        <v>30657.967999999997</v>
      </c>
      <c r="P102" s="9" t="s">
        <v>2089</v>
      </c>
      <c r="Q102" t="s">
        <v>2411</v>
      </c>
    </row>
    <row r="103" spans="1:17" x14ac:dyDescent="0.3">
      <c r="A103" s="7">
        <v>45923</v>
      </c>
      <c r="B103" s="7">
        <v>45925</v>
      </c>
      <c r="C103" t="s">
        <v>34</v>
      </c>
      <c r="D103" t="s">
        <v>15</v>
      </c>
      <c r="E103" t="s">
        <v>16</v>
      </c>
      <c r="F103">
        <v>430341384</v>
      </c>
      <c r="G103">
        <v>803203054</v>
      </c>
      <c r="H103">
        <v>44109</v>
      </c>
      <c r="I103">
        <v>43908</v>
      </c>
      <c r="J103">
        <f>Table13456789101112132345678910[[#This Row],[LOADED LITRES]]-Table13456789101112132345678910[[#This Row],[Offloading Litres]]</f>
        <v>201</v>
      </c>
      <c r="K103" t="s">
        <v>25</v>
      </c>
      <c r="L103">
        <v>76227516</v>
      </c>
      <c r="M103" t="s">
        <v>2192</v>
      </c>
      <c r="N103">
        <v>0.68799999999999994</v>
      </c>
      <c r="O103" s="8">
        <f>Table13456789101112132345678910[[#This Row],[Offloading Litres]]*Table13456789101112132345678910[[#This Row],[Rate]]</f>
        <v>30208.703999999998</v>
      </c>
      <c r="P103" s="9" t="s">
        <v>2088</v>
      </c>
      <c r="Q103" t="s">
        <v>2315</v>
      </c>
    </row>
    <row r="104" spans="1:17" x14ac:dyDescent="0.3">
      <c r="A104" s="7">
        <v>45923</v>
      </c>
      <c r="B104" s="7">
        <v>45925</v>
      </c>
      <c r="C104" t="s">
        <v>29</v>
      </c>
      <c r="D104" t="s">
        <v>24</v>
      </c>
      <c r="E104" t="s">
        <v>40</v>
      </c>
      <c r="F104">
        <v>430559938</v>
      </c>
      <c r="G104">
        <v>803206669</v>
      </c>
      <c r="H104">
        <v>39624</v>
      </c>
      <c r="I104">
        <v>39597</v>
      </c>
      <c r="J104">
        <f>Table13456789101112132345678910[[#This Row],[LOADED LITRES]]-Table13456789101112132345678910[[#This Row],[Offloading Litres]]</f>
        <v>27</v>
      </c>
      <c r="K104" t="s">
        <v>32</v>
      </c>
      <c r="L104">
        <v>76230999</v>
      </c>
      <c r="M104" t="s">
        <v>2193</v>
      </c>
      <c r="N104">
        <v>0.74390000000000001</v>
      </c>
      <c r="O104" s="8">
        <f>Table13456789101112132345678910[[#This Row],[Offloading Litres]]*Table13456789101112132345678910[[#This Row],[Rate]]</f>
        <v>29456.208299999998</v>
      </c>
      <c r="P104" s="9" t="s">
        <v>2090</v>
      </c>
      <c r="Q104" t="s">
        <v>2317</v>
      </c>
    </row>
    <row r="105" spans="1:17" x14ac:dyDescent="0.3">
      <c r="A105" s="7">
        <v>45923</v>
      </c>
      <c r="B105" s="7">
        <v>45926</v>
      </c>
      <c r="C105" t="s">
        <v>22</v>
      </c>
      <c r="D105" t="s">
        <v>26</v>
      </c>
      <c r="E105" t="s">
        <v>40</v>
      </c>
      <c r="F105">
        <v>430557396</v>
      </c>
      <c r="G105">
        <v>803207066</v>
      </c>
      <c r="H105">
        <v>39834</v>
      </c>
      <c r="I105">
        <v>39730</v>
      </c>
      <c r="J105">
        <f>Table13456789101112132345678910[[#This Row],[LOADED LITRES]]-Table13456789101112132345678910[[#This Row],[Offloading Litres]]</f>
        <v>104</v>
      </c>
      <c r="K105" t="s">
        <v>32</v>
      </c>
      <c r="L105">
        <v>76231393</v>
      </c>
      <c r="M105" t="s">
        <v>2194</v>
      </c>
      <c r="N105">
        <v>0.74390000000000001</v>
      </c>
      <c r="O105" s="8">
        <f>Table13456789101112132345678910[[#This Row],[Offloading Litres]]*Table13456789101112132345678910[[#This Row],[Rate]]</f>
        <v>29555.147000000001</v>
      </c>
      <c r="P105" s="9" t="s">
        <v>2091</v>
      </c>
      <c r="Q105" t="s">
        <v>2318</v>
      </c>
    </row>
    <row r="106" spans="1:17" x14ac:dyDescent="0.3">
      <c r="A106" s="7">
        <v>45924</v>
      </c>
      <c r="B106" s="7">
        <v>45925</v>
      </c>
      <c r="C106" t="s">
        <v>23</v>
      </c>
      <c r="D106" t="s">
        <v>39</v>
      </c>
      <c r="E106" t="s">
        <v>40</v>
      </c>
      <c r="F106">
        <v>430560818</v>
      </c>
      <c r="G106">
        <v>803207636</v>
      </c>
      <c r="H106">
        <v>44091</v>
      </c>
      <c r="I106">
        <v>44006</v>
      </c>
      <c r="J106">
        <f>Table13456789101112132345678910[[#This Row],[LOADED LITRES]]-Table13456789101112132345678910[[#This Row],[Offloading Litres]]</f>
        <v>85</v>
      </c>
      <c r="K106" t="s">
        <v>25</v>
      </c>
      <c r="L106">
        <v>76232112</v>
      </c>
      <c r="M106" t="s">
        <v>2195</v>
      </c>
      <c r="N106">
        <v>0.74390000000000001</v>
      </c>
      <c r="O106" s="8">
        <f>Table13456789101112132345678910[[#This Row],[Offloading Litres]]*Table13456789101112132345678910[[#This Row],[Rate]]</f>
        <v>32736.063399999999</v>
      </c>
      <c r="P106" s="9" t="s">
        <v>2075</v>
      </c>
      <c r="Q106" t="s">
        <v>2316</v>
      </c>
    </row>
    <row r="107" spans="1:17" x14ac:dyDescent="0.3">
      <c r="A107" s="7">
        <v>45924</v>
      </c>
      <c r="B107" s="7">
        <v>45926</v>
      </c>
      <c r="C107" t="s">
        <v>28</v>
      </c>
      <c r="D107" t="s">
        <v>33</v>
      </c>
      <c r="E107" t="s">
        <v>16</v>
      </c>
      <c r="F107">
        <v>430341415</v>
      </c>
      <c r="G107">
        <v>803211884</v>
      </c>
      <c r="H107">
        <v>44539</v>
      </c>
      <c r="I107">
        <v>44557</v>
      </c>
      <c r="J107">
        <f>Table13456789101112132345678910[[#This Row],[LOADED LITRES]]-Table13456789101112132345678910[[#This Row],[Offloading Litres]]</f>
        <v>-18</v>
      </c>
      <c r="K107" t="s">
        <v>25</v>
      </c>
      <c r="L107">
        <v>76236109</v>
      </c>
      <c r="M107" t="s">
        <v>2196</v>
      </c>
      <c r="N107">
        <v>0.68799999999999994</v>
      </c>
      <c r="O107" s="8">
        <f>Table13456789101112132345678910[[#This Row],[Offloading Litres]]*Table13456789101112132345678910[[#This Row],[Rate]]</f>
        <v>30655.215999999997</v>
      </c>
      <c r="P107" s="9" t="s">
        <v>2026</v>
      </c>
      <c r="Q107" t="s">
        <v>2410</v>
      </c>
    </row>
    <row r="108" spans="1:17" x14ac:dyDescent="0.3">
      <c r="A108" s="7">
        <v>45925</v>
      </c>
      <c r="B108" s="7">
        <v>45927</v>
      </c>
      <c r="C108" t="s">
        <v>30</v>
      </c>
      <c r="D108" t="s">
        <v>624</v>
      </c>
      <c r="E108" t="s">
        <v>16</v>
      </c>
      <c r="F108">
        <v>430341484</v>
      </c>
      <c r="G108">
        <v>803213772</v>
      </c>
      <c r="H108">
        <v>38877</v>
      </c>
      <c r="I108">
        <v>38824</v>
      </c>
      <c r="J108">
        <f>Table13456789101112132345678910[[#This Row],[LOADED LITRES]]-Table13456789101112132345678910[[#This Row],[Offloading Litres]]</f>
        <v>53</v>
      </c>
      <c r="K108" t="s">
        <v>32</v>
      </c>
      <c r="L108">
        <v>76237759</v>
      </c>
      <c r="M108" t="s">
        <v>2197</v>
      </c>
      <c r="N108">
        <v>0.68799999999999994</v>
      </c>
      <c r="O108" s="8">
        <f>Table13456789101112132345678910[[#This Row],[Offloading Litres]]*Table13456789101112132345678910[[#This Row],[Rate]]</f>
        <v>26710.911999999997</v>
      </c>
      <c r="P108" s="9" t="s">
        <v>2092</v>
      </c>
      <c r="Q108" t="s">
        <v>2409</v>
      </c>
    </row>
    <row r="109" spans="1:17" x14ac:dyDescent="0.3">
      <c r="A109" s="7">
        <v>45925</v>
      </c>
      <c r="B109" s="7">
        <v>45929</v>
      </c>
      <c r="C109" t="s">
        <v>1794</v>
      </c>
      <c r="D109" t="s">
        <v>35</v>
      </c>
      <c r="E109" t="s">
        <v>16</v>
      </c>
      <c r="F109">
        <v>430574423</v>
      </c>
      <c r="G109">
        <v>803214406</v>
      </c>
      <c r="H109">
        <v>39834</v>
      </c>
      <c r="I109">
        <v>39657</v>
      </c>
      <c r="J109">
        <f>Table13456789101112132345678910[[#This Row],[LOADED LITRES]]-Table13456789101112132345678910[[#This Row],[Offloading Litres]]</f>
        <v>177</v>
      </c>
      <c r="K109" t="s">
        <v>32</v>
      </c>
      <c r="L109">
        <v>76238176</v>
      </c>
      <c r="M109" t="s">
        <v>2198</v>
      </c>
      <c r="N109">
        <v>0.68799999999999994</v>
      </c>
      <c r="O109" s="8">
        <f>Table13456789101112132345678910[[#This Row],[Offloading Litres]]*Table13456789101112132345678910[[#This Row],[Rate]]</f>
        <v>27284.016</v>
      </c>
      <c r="P109" s="9" t="s">
        <v>2098</v>
      </c>
      <c r="Q109" t="s">
        <v>2403</v>
      </c>
    </row>
    <row r="110" spans="1:17" x14ac:dyDescent="0.3">
      <c r="A110" s="7">
        <v>45925</v>
      </c>
      <c r="B110" s="7">
        <v>45927</v>
      </c>
      <c r="C110" t="s">
        <v>103</v>
      </c>
      <c r="D110" t="s">
        <v>286</v>
      </c>
      <c r="E110" t="s">
        <v>16</v>
      </c>
      <c r="F110">
        <v>430341405</v>
      </c>
      <c r="G110">
        <v>803215061</v>
      </c>
      <c r="H110">
        <v>44233</v>
      </c>
      <c r="I110">
        <v>44345</v>
      </c>
      <c r="J110">
        <f>Table13456789101112132345678910[[#This Row],[LOADED LITRES]]-Table13456789101112132345678910[[#This Row],[Offloading Litres]]</f>
        <v>-112</v>
      </c>
      <c r="K110" t="s">
        <v>25</v>
      </c>
      <c r="L110">
        <v>76238907</v>
      </c>
      <c r="M110" t="s">
        <v>2199</v>
      </c>
      <c r="N110">
        <v>0.68799999999999994</v>
      </c>
      <c r="O110" s="8">
        <f>Table13456789101112132345678910[[#This Row],[Offloading Litres]]*Table13456789101112132345678910[[#This Row],[Rate]]</f>
        <v>30509.359999999997</v>
      </c>
      <c r="P110" s="9" t="s">
        <v>2093</v>
      </c>
      <c r="Q110" t="s">
        <v>2319</v>
      </c>
    </row>
    <row r="111" spans="1:17" x14ac:dyDescent="0.3">
      <c r="A111" s="7">
        <v>45925</v>
      </c>
      <c r="B111" s="7">
        <v>45927</v>
      </c>
      <c r="C111" t="s">
        <v>17</v>
      </c>
      <c r="D111" t="s">
        <v>19</v>
      </c>
      <c r="E111" t="s">
        <v>16</v>
      </c>
      <c r="F111">
        <v>430573541</v>
      </c>
      <c r="G111">
        <v>803214824</v>
      </c>
      <c r="H111">
        <v>44218</v>
      </c>
      <c r="I111">
        <v>44112</v>
      </c>
      <c r="J111">
        <f>Table13456789101112132345678910[[#This Row],[LOADED LITRES]]-Table13456789101112132345678910[[#This Row],[Offloading Litres]]</f>
        <v>106</v>
      </c>
      <c r="K111" t="s">
        <v>25</v>
      </c>
      <c r="L111">
        <v>76238612</v>
      </c>
      <c r="M111" t="s">
        <v>2200</v>
      </c>
      <c r="N111">
        <v>0.68799999999999994</v>
      </c>
      <c r="O111" s="8">
        <f>Table13456789101112132345678910[[#This Row],[Offloading Litres]]*Table13456789101112132345678910[[#This Row],[Rate]]</f>
        <v>30349.055999999997</v>
      </c>
      <c r="P111" s="9" t="s">
        <v>2094</v>
      </c>
      <c r="Q111" t="s">
        <v>2407</v>
      </c>
    </row>
    <row r="112" spans="1:17" x14ac:dyDescent="0.3">
      <c r="A112" s="7">
        <v>45926</v>
      </c>
      <c r="B112" s="7">
        <v>45929</v>
      </c>
      <c r="C112" t="s">
        <v>23</v>
      </c>
      <c r="D112" t="s">
        <v>39</v>
      </c>
      <c r="E112" t="s">
        <v>16</v>
      </c>
      <c r="F112">
        <v>430574359</v>
      </c>
      <c r="G112">
        <v>803217564</v>
      </c>
      <c r="H112">
        <v>44149</v>
      </c>
      <c r="I112">
        <v>44093</v>
      </c>
      <c r="J112">
        <f>Table13456789101112132345678910[[#This Row],[LOADED LITRES]]-Table13456789101112132345678910[[#This Row],[Offloading Litres]]</f>
        <v>56</v>
      </c>
      <c r="K112" t="s">
        <v>25</v>
      </c>
      <c r="L112">
        <v>76241562</v>
      </c>
      <c r="M112" t="s">
        <v>2201</v>
      </c>
      <c r="N112">
        <v>0.68799999999999994</v>
      </c>
      <c r="O112" s="8">
        <f>Table13456789101112132345678910[[#This Row],[Offloading Litres]]*Table13456789101112132345678910[[#This Row],[Rate]]</f>
        <v>30335.983999999997</v>
      </c>
      <c r="P112" s="9" t="s">
        <v>2074</v>
      </c>
      <c r="Q112" t="s">
        <v>2400</v>
      </c>
    </row>
    <row r="113" spans="1:17" x14ac:dyDescent="0.3">
      <c r="A113" s="7">
        <v>45926</v>
      </c>
      <c r="B113" s="7">
        <v>45929</v>
      </c>
      <c r="C113" t="s">
        <v>34</v>
      </c>
      <c r="D113" t="s">
        <v>15</v>
      </c>
      <c r="E113" t="s">
        <v>16</v>
      </c>
      <c r="F113">
        <v>430573548</v>
      </c>
      <c r="G113">
        <v>803217561</v>
      </c>
      <c r="H113">
        <v>44146</v>
      </c>
      <c r="I113">
        <v>44112</v>
      </c>
      <c r="J113">
        <f>Table13456789101112132345678910[[#This Row],[LOADED LITRES]]-Table13456789101112132345678910[[#This Row],[Offloading Litres]]</f>
        <v>34</v>
      </c>
      <c r="K113" t="s">
        <v>25</v>
      </c>
      <c r="L113">
        <v>76241536</v>
      </c>
      <c r="M113" t="s">
        <v>2202</v>
      </c>
      <c r="N113">
        <v>0.68799999999999994</v>
      </c>
      <c r="O113" s="8">
        <f>Table13456789101112132345678910[[#This Row],[Offloading Litres]]*Table13456789101112132345678910[[#This Row],[Rate]]</f>
        <v>30349.055999999997</v>
      </c>
      <c r="P113" s="9" t="s">
        <v>2099</v>
      </c>
      <c r="Q113" t="s">
        <v>2402</v>
      </c>
    </row>
    <row r="114" spans="1:17" x14ac:dyDescent="0.3">
      <c r="A114" s="7">
        <v>45926</v>
      </c>
      <c r="B114" s="7">
        <v>45927</v>
      </c>
      <c r="C114" t="s">
        <v>29</v>
      </c>
      <c r="D114" t="s">
        <v>24</v>
      </c>
      <c r="E114" t="s">
        <v>40</v>
      </c>
      <c r="F114">
        <v>430559936</v>
      </c>
      <c r="G114">
        <v>803218613</v>
      </c>
      <c r="H114">
        <v>39590</v>
      </c>
      <c r="I114">
        <v>39683</v>
      </c>
      <c r="J114">
        <f>Table13456789101112132345678910[[#This Row],[LOADED LITRES]]-Table13456789101112132345678910[[#This Row],[Offloading Litres]]</f>
        <v>-93</v>
      </c>
      <c r="K114" t="s">
        <v>32</v>
      </c>
      <c r="L114">
        <v>76242693</v>
      </c>
      <c r="M114" t="s">
        <v>2203</v>
      </c>
      <c r="N114">
        <v>0.74390000000000001</v>
      </c>
      <c r="O114" s="8">
        <f>Table13456789101112132345678910[[#This Row],[Offloading Litres]]*Table13456789101112132345678910[[#This Row],[Rate]]</f>
        <v>29520.183700000001</v>
      </c>
      <c r="P114" s="9" t="s">
        <v>2095</v>
      </c>
      <c r="Q114" t="s">
        <v>2406</v>
      </c>
    </row>
    <row r="115" spans="1:17" x14ac:dyDescent="0.3">
      <c r="A115" s="7">
        <v>45927</v>
      </c>
      <c r="B115" s="7">
        <v>45928</v>
      </c>
      <c r="C115" t="s">
        <v>22</v>
      </c>
      <c r="D115" t="s">
        <v>26</v>
      </c>
      <c r="E115" t="s">
        <v>40</v>
      </c>
      <c r="F115">
        <v>430560844</v>
      </c>
      <c r="G115">
        <v>803222812</v>
      </c>
      <c r="H115">
        <v>44216</v>
      </c>
      <c r="I115">
        <v>44386</v>
      </c>
      <c r="J115">
        <f>Table13456789101112132345678910[[#This Row],[LOADED LITRES]]-Table13456789101112132345678910[[#This Row],[Offloading Litres]]</f>
        <v>-170</v>
      </c>
      <c r="K115" t="s">
        <v>25</v>
      </c>
      <c r="L115">
        <v>76246812</v>
      </c>
      <c r="M115" t="s">
        <v>2204</v>
      </c>
      <c r="N115">
        <v>0.74390000000000001</v>
      </c>
      <c r="O115" s="8">
        <f>Table13456789101112132345678910[[#This Row],[Offloading Litres]]*Table13456789101112132345678910[[#This Row],[Rate]]</f>
        <v>33018.7454</v>
      </c>
      <c r="P115" s="9" t="s">
        <v>2096</v>
      </c>
      <c r="Q115" t="s">
        <v>2404</v>
      </c>
    </row>
    <row r="116" spans="1:17" x14ac:dyDescent="0.3">
      <c r="A116" s="7">
        <v>45927</v>
      </c>
      <c r="B116" s="7">
        <v>45929</v>
      </c>
      <c r="C116" t="s">
        <v>103</v>
      </c>
      <c r="D116" t="s">
        <v>286</v>
      </c>
      <c r="E116" t="s">
        <v>40</v>
      </c>
      <c r="F116">
        <v>430815464</v>
      </c>
      <c r="G116">
        <v>803224680</v>
      </c>
      <c r="H116">
        <v>44099</v>
      </c>
      <c r="I116">
        <v>44147</v>
      </c>
      <c r="J116">
        <f>Table13456789101112132345678910[[#This Row],[LOADED LITRES]]-Table13456789101112132345678910[[#This Row],[Offloading Litres]]</f>
        <v>-48</v>
      </c>
      <c r="K116" t="s">
        <v>25</v>
      </c>
      <c r="L116">
        <v>76248783</v>
      </c>
      <c r="M116" t="s">
        <v>2205</v>
      </c>
      <c r="N116">
        <v>0.74390000000000001</v>
      </c>
      <c r="O116" s="8">
        <f>Table13456789101112132345678910[[#This Row],[Offloading Litres]]*Table13456789101112132345678910[[#This Row],[Rate]]</f>
        <v>32840.953300000001</v>
      </c>
      <c r="P116" s="9" t="s">
        <v>2100</v>
      </c>
      <c r="Q116" t="s">
        <v>2399</v>
      </c>
    </row>
    <row r="117" spans="1:17" x14ac:dyDescent="0.3">
      <c r="A117" s="7">
        <v>45927</v>
      </c>
      <c r="B117" s="7">
        <v>45930</v>
      </c>
      <c r="C117" t="s">
        <v>21</v>
      </c>
      <c r="D117" t="s">
        <v>27</v>
      </c>
      <c r="E117" t="s">
        <v>40</v>
      </c>
      <c r="F117">
        <v>430815466</v>
      </c>
      <c r="G117">
        <v>803224759</v>
      </c>
      <c r="H117">
        <v>44617</v>
      </c>
      <c r="I117">
        <v>44504</v>
      </c>
      <c r="J117">
        <f>Table13456789101112132345678910[[#This Row],[LOADED LITRES]]-Table13456789101112132345678910[[#This Row],[Offloading Litres]]</f>
        <v>113</v>
      </c>
      <c r="K117" t="s">
        <v>25</v>
      </c>
      <c r="L117">
        <v>76248850</v>
      </c>
      <c r="M117" t="s">
        <v>2206</v>
      </c>
      <c r="N117">
        <v>0.74390000000000001</v>
      </c>
      <c r="O117" s="8">
        <f>Table13456789101112132345678910[[#This Row],[Offloading Litres]]*Table13456789101112132345678910[[#This Row],[Rate]]</f>
        <v>33106.525600000001</v>
      </c>
      <c r="P117" s="9" t="s">
        <v>2101</v>
      </c>
      <c r="Q117" t="s">
        <v>2398</v>
      </c>
    </row>
    <row r="118" spans="1:17" x14ac:dyDescent="0.3">
      <c r="A118" s="7">
        <v>45927</v>
      </c>
      <c r="B118" s="7">
        <v>45928</v>
      </c>
      <c r="C118" t="s">
        <v>30</v>
      </c>
      <c r="D118" t="s">
        <v>349</v>
      </c>
      <c r="E118" t="s">
        <v>40</v>
      </c>
      <c r="F118">
        <v>430815424</v>
      </c>
      <c r="G118">
        <v>803224866</v>
      </c>
      <c r="H118">
        <v>38834</v>
      </c>
      <c r="I118">
        <v>38908</v>
      </c>
      <c r="J118">
        <f>Table13456789101112132345678910[[#This Row],[LOADED LITRES]]-Table13456789101112132345678910[[#This Row],[Offloading Litres]]</f>
        <v>-74</v>
      </c>
      <c r="K118" t="s">
        <v>32</v>
      </c>
      <c r="L118">
        <v>76248984</v>
      </c>
      <c r="M118" t="s">
        <v>2207</v>
      </c>
      <c r="N118">
        <v>0.74390000000000001</v>
      </c>
      <c r="O118" s="8">
        <f>Table13456789101112132345678910[[#This Row],[Offloading Litres]]*Table13456789101112132345678910[[#This Row],[Rate]]</f>
        <v>28943.661199999999</v>
      </c>
      <c r="P118" s="9" t="s">
        <v>2097</v>
      </c>
      <c r="Q118" t="s">
        <v>2405</v>
      </c>
    </row>
    <row r="119" spans="1:17" x14ac:dyDescent="0.3">
      <c r="A119" s="7">
        <v>45927</v>
      </c>
      <c r="B119" s="7">
        <v>45930</v>
      </c>
      <c r="C119" t="s">
        <v>28</v>
      </c>
      <c r="D119" t="s">
        <v>33</v>
      </c>
      <c r="E119" t="s">
        <v>40</v>
      </c>
      <c r="F119">
        <v>430815427</v>
      </c>
      <c r="G119">
        <v>803224790</v>
      </c>
      <c r="H119">
        <v>44329</v>
      </c>
      <c r="I119">
        <v>44168</v>
      </c>
      <c r="J119">
        <f>Table13456789101112132345678910[[#This Row],[LOADED LITRES]]-Table13456789101112132345678910[[#This Row],[Offloading Litres]]</f>
        <v>161</v>
      </c>
      <c r="K119" t="s">
        <v>25</v>
      </c>
      <c r="L119">
        <v>76248879</v>
      </c>
      <c r="M119" t="s">
        <v>2208</v>
      </c>
      <c r="N119">
        <v>0.74390000000000001</v>
      </c>
      <c r="O119" s="8">
        <f>Table13456789101112132345678910[[#This Row],[Offloading Litres]]*Table13456789101112132345678910[[#This Row],[Rate]]</f>
        <v>32856.575199999999</v>
      </c>
      <c r="P119" s="9" t="s">
        <v>2102</v>
      </c>
      <c r="Q119" t="s">
        <v>2397</v>
      </c>
    </row>
    <row r="120" spans="1:17" x14ac:dyDescent="0.3">
      <c r="A120" s="7">
        <v>45928</v>
      </c>
      <c r="B120" s="7">
        <v>45930</v>
      </c>
      <c r="C120" t="s">
        <v>29</v>
      </c>
      <c r="D120" t="s">
        <v>24</v>
      </c>
      <c r="E120" t="s">
        <v>16</v>
      </c>
      <c r="F120">
        <v>430573856</v>
      </c>
      <c r="G120">
        <v>803229358</v>
      </c>
      <c r="H120">
        <v>44203</v>
      </c>
      <c r="I120">
        <v>44114</v>
      </c>
      <c r="J120">
        <f>Table13456789101112132345678910[[#This Row],[LOADED LITRES]]-Table13456789101112132345678910[[#This Row],[Offloading Litres]]</f>
        <v>89</v>
      </c>
      <c r="K120" t="s">
        <v>25</v>
      </c>
      <c r="L120">
        <v>76249381</v>
      </c>
      <c r="M120" t="s">
        <v>2209</v>
      </c>
      <c r="N120">
        <v>0.68799999999999994</v>
      </c>
      <c r="O120" s="8">
        <f>Table13456789101112132345678910[[#This Row],[Offloading Litres]]*Table13456789101112132345678910[[#This Row],[Rate]]</f>
        <v>30350.431999999997</v>
      </c>
      <c r="P120" s="9" t="s">
        <v>2104</v>
      </c>
      <c r="Q120" t="s">
        <v>2396</v>
      </c>
    </row>
    <row r="121" spans="1:17" x14ac:dyDescent="0.3">
      <c r="A121" s="7">
        <v>45929</v>
      </c>
      <c r="B121" s="7">
        <v>45932</v>
      </c>
      <c r="C121" t="s">
        <v>17</v>
      </c>
      <c r="D121" t="s">
        <v>19</v>
      </c>
      <c r="E121" t="s">
        <v>40</v>
      </c>
      <c r="F121">
        <v>430815465</v>
      </c>
      <c r="G121">
        <v>803232566</v>
      </c>
      <c r="H121">
        <v>44190</v>
      </c>
      <c r="I121">
        <v>44100</v>
      </c>
      <c r="J121">
        <f>Table13456789101112132345678910[[#This Row],[LOADED LITRES]]-Table13456789101112132345678910[[#This Row],[Offloading Litres]]</f>
        <v>90</v>
      </c>
      <c r="K121" t="s">
        <v>25</v>
      </c>
      <c r="L121">
        <v>76252563</v>
      </c>
      <c r="M121" t="s">
        <v>2210</v>
      </c>
      <c r="N121">
        <v>0.74390000000000001</v>
      </c>
      <c r="O121" s="8">
        <f>Table13456789101112132345678910[[#This Row],[Offloading Litres]]*Table13456789101112132345678910[[#This Row],[Rate]]</f>
        <v>32805.99</v>
      </c>
      <c r="P121" s="9" t="s">
        <v>2109</v>
      </c>
      <c r="Q121" t="s">
        <v>2727</v>
      </c>
    </row>
    <row r="122" spans="1:17" x14ac:dyDescent="0.3">
      <c r="A122" s="7">
        <v>45929</v>
      </c>
      <c r="B122" s="7">
        <v>45931</v>
      </c>
      <c r="C122" t="s">
        <v>22</v>
      </c>
      <c r="D122" t="s">
        <v>26</v>
      </c>
      <c r="E122" t="s">
        <v>16</v>
      </c>
      <c r="F122">
        <v>430574446</v>
      </c>
      <c r="G122">
        <v>803234011</v>
      </c>
      <c r="H122">
        <v>39922</v>
      </c>
      <c r="I122">
        <v>39780</v>
      </c>
      <c r="J122">
        <f>Table13456789101112132345678910[[#This Row],[LOADED LITRES]]-Table13456789101112132345678910[[#This Row],[Offloading Litres]]</f>
        <v>142</v>
      </c>
      <c r="K122" t="s">
        <v>32</v>
      </c>
      <c r="L122">
        <v>76254084</v>
      </c>
      <c r="M122" t="s">
        <v>2211</v>
      </c>
      <c r="N122">
        <v>0.68799999999999994</v>
      </c>
      <c r="O122" s="8">
        <f>Table13456789101112132345678910[[#This Row],[Offloading Litres]]*Table13456789101112132345678910[[#This Row],[Rate]]</f>
        <v>27368.639999999999</v>
      </c>
      <c r="P122" s="9" t="s">
        <v>2105</v>
      </c>
      <c r="Q122" t="s">
        <v>2395</v>
      </c>
    </row>
    <row r="123" spans="1:17" x14ac:dyDescent="0.3">
      <c r="A123" s="7">
        <v>45929</v>
      </c>
      <c r="B123" s="7">
        <v>45930</v>
      </c>
      <c r="C123" t="s">
        <v>30</v>
      </c>
      <c r="D123" t="s">
        <v>349</v>
      </c>
      <c r="E123" t="s">
        <v>298</v>
      </c>
      <c r="F123">
        <v>430857810</v>
      </c>
      <c r="G123">
        <v>803234866</v>
      </c>
      <c r="H123">
        <v>38894</v>
      </c>
      <c r="I123">
        <v>38825</v>
      </c>
      <c r="J123">
        <f>Table13456789101112132345678910[[#This Row],[LOADED LITRES]]-Table13456789101112132345678910[[#This Row],[Offloading Litres]]</f>
        <v>69</v>
      </c>
      <c r="K123" t="s">
        <v>32</v>
      </c>
      <c r="L123">
        <v>76254852</v>
      </c>
      <c r="M123" t="s">
        <v>2212</v>
      </c>
      <c r="N123">
        <v>0.75919999999999999</v>
      </c>
      <c r="O123" s="8">
        <f>Table13456789101112132345678910[[#This Row],[Offloading Litres]]*Table13456789101112132345678910[[#This Row],[Rate]]</f>
        <v>29475.94</v>
      </c>
      <c r="P123" s="9" t="s">
        <v>2103</v>
      </c>
      <c r="Q123" t="s">
        <v>2394</v>
      </c>
    </row>
    <row r="124" spans="1:17" x14ac:dyDescent="0.3">
      <c r="A124" s="7">
        <v>45930</v>
      </c>
      <c r="B124" s="7">
        <v>45931</v>
      </c>
      <c r="C124" t="s">
        <v>1794</v>
      </c>
      <c r="D124" t="s">
        <v>35</v>
      </c>
      <c r="E124" t="s">
        <v>298</v>
      </c>
      <c r="F124">
        <v>430857765</v>
      </c>
      <c r="G124">
        <v>803236527</v>
      </c>
      <c r="H124">
        <v>39893</v>
      </c>
      <c r="I124">
        <v>39718</v>
      </c>
      <c r="J124">
        <f>Table13456789101112132345678910[[#This Row],[LOADED LITRES]]-Table13456789101112132345678910[[#This Row],[Offloading Litres]]</f>
        <v>175</v>
      </c>
      <c r="K124" t="s">
        <v>32</v>
      </c>
      <c r="L124">
        <v>76256135</v>
      </c>
      <c r="M124" t="s">
        <v>2213</v>
      </c>
      <c r="N124">
        <v>0.75919999999999999</v>
      </c>
      <c r="O124" s="8">
        <f>Table13456789101112132345678910[[#This Row],[Offloading Litres]]*Table13456789101112132345678910[[#This Row],[Rate]]</f>
        <v>30153.905599999998</v>
      </c>
      <c r="P124" s="9" t="s">
        <v>2106</v>
      </c>
      <c r="Q124" t="s">
        <v>2736</v>
      </c>
    </row>
    <row r="125" spans="1:17" x14ac:dyDescent="0.3">
      <c r="A125" s="7">
        <v>45930</v>
      </c>
      <c r="B125" s="7">
        <v>45931</v>
      </c>
      <c r="C125" t="s">
        <v>23</v>
      </c>
      <c r="D125" t="s">
        <v>39</v>
      </c>
      <c r="E125" t="s">
        <v>298</v>
      </c>
      <c r="F125">
        <v>430863785</v>
      </c>
      <c r="G125">
        <v>803239615</v>
      </c>
      <c r="H125">
        <v>38871</v>
      </c>
      <c r="I125">
        <v>38785</v>
      </c>
      <c r="J125">
        <f>Table13456789101112132345678910[[#This Row],[LOADED LITRES]]-Table13456789101112132345678910[[#This Row],[Offloading Litres]]</f>
        <v>86</v>
      </c>
      <c r="K125" t="s">
        <v>32</v>
      </c>
      <c r="L125">
        <v>76258737</v>
      </c>
      <c r="M125" t="s">
        <v>2214</v>
      </c>
      <c r="N125">
        <v>0.75919999999999999</v>
      </c>
      <c r="O125" s="8">
        <f>Table13456789101112132345678910[[#This Row],[Offloading Litres]]*Table13456789101112132345678910[[#This Row],[Rate]]</f>
        <v>29445.572</v>
      </c>
      <c r="P125" s="9" t="s">
        <v>2107</v>
      </c>
      <c r="Q125" t="s">
        <v>2737</v>
      </c>
    </row>
    <row r="126" spans="1:17" x14ac:dyDescent="0.3">
      <c r="A126" s="7">
        <v>45930</v>
      </c>
      <c r="B126" s="7">
        <v>45931</v>
      </c>
      <c r="C126" t="s">
        <v>103</v>
      </c>
      <c r="D126" t="s">
        <v>286</v>
      </c>
      <c r="E126" t="s">
        <v>16</v>
      </c>
      <c r="F126">
        <v>430574453</v>
      </c>
      <c r="G126">
        <v>803240542</v>
      </c>
      <c r="H126">
        <v>39357</v>
      </c>
      <c r="I126">
        <v>39581</v>
      </c>
      <c r="J126">
        <f>Table13456789101112132345678910[[#This Row],[LOADED LITRES]]-Table13456789101112132345678910[[#This Row],[Offloading Litres]]</f>
        <v>-224</v>
      </c>
      <c r="K126" t="s">
        <v>32</v>
      </c>
      <c r="L126">
        <v>76259487</v>
      </c>
      <c r="M126" t="s">
        <v>2215</v>
      </c>
      <c r="N126">
        <v>0.68799999999999994</v>
      </c>
      <c r="O126" s="8">
        <f>Table13456789101112132345678910[[#This Row],[Offloading Litres]]*Table13456789101112132345678910[[#This Row],[Rate]]</f>
        <v>27231.727999999999</v>
      </c>
      <c r="P126" s="9" t="s">
        <v>2108</v>
      </c>
      <c r="Q126" t="s">
        <v>2735</v>
      </c>
    </row>
  </sheetData>
  <phoneticPr fontId="2" type="noConversion"/>
  <conditionalFormatting sqref="F1:G1">
    <cfRule type="duplicateValues" dxfId="9" priority="1"/>
  </conditionalFormatting>
  <conditionalFormatting sqref="G1">
    <cfRule type="duplicateValues" dxfId="8" priority="2"/>
  </conditionalFormatting>
  <conditionalFormatting sqref="L1">
    <cfRule type="duplicateValues" dxfId="7" priority="3"/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C1EDD-2316-4A39-89CA-26FA3AD8548C}">
  <dimension ref="A1:T144"/>
  <sheetViews>
    <sheetView view="pageLayout" topLeftCell="E117" zoomScaleNormal="100" workbookViewId="0">
      <selection activeCell="M131" sqref="M131"/>
    </sheetView>
  </sheetViews>
  <sheetFormatPr defaultRowHeight="14.4" x14ac:dyDescent="0.3"/>
  <cols>
    <col min="1" max="2" width="13.33203125" customWidth="1"/>
    <col min="3" max="3" width="9.88671875" customWidth="1"/>
    <col min="4" max="4" width="20.33203125" customWidth="1"/>
    <col min="5" max="5" width="22.88671875" customWidth="1"/>
    <col min="6" max="9" width="13.33203125" customWidth="1"/>
    <col min="10" max="10" width="9" customWidth="1"/>
    <col min="11" max="11" width="9.21875" customWidth="1"/>
    <col min="12" max="12" width="11.44140625" customWidth="1"/>
    <col min="13" max="13" width="13.5546875" customWidth="1"/>
    <col min="14" max="14" width="9.44140625" customWidth="1"/>
    <col min="15" max="15" width="10.109375" style="8" customWidth="1"/>
    <col min="16" max="16" width="14.6640625" customWidth="1"/>
    <col min="17" max="17" width="10.6640625" customWidth="1"/>
    <col min="18" max="18" width="14.6640625" customWidth="1"/>
    <col min="19" max="19" width="9.33203125" customWidth="1"/>
  </cols>
  <sheetData>
    <row r="1" spans="1:20" ht="15.6" thickBot="1" x14ac:dyDescent="0.35">
      <c r="A1" s="1" t="s">
        <v>0</v>
      </c>
      <c r="B1" s="1" t="s">
        <v>1</v>
      </c>
      <c r="C1" s="2" t="s">
        <v>38</v>
      </c>
      <c r="D1" s="2" t="s">
        <v>2</v>
      </c>
      <c r="E1" s="2" t="s">
        <v>3</v>
      </c>
      <c r="F1" s="2" t="s">
        <v>37</v>
      </c>
      <c r="G1" s="2" t="s">
        <v>4</v>
      </c>
      <c r="H1" s="2" t="s">
        <v>36</v>
      </c>
      <c r="I1" s="2" t="s">
        <v>5</v>
      </c>
      <c r="J1" s="2" t="s">
        <v>6</v>
      </c>
      <c r="K1" s="2" t="s">
        <v>7</v>
      </c>
      <c r="L1" s="3" t="s">
        <v>8</v>
      </c>
      <c r="M1" s="2" t="s">
        <v>9</v>
      </c>
      <c r="N1" s="2" t="s">
        <v>10</v>
      </c>
      <c r="O1" s="4" t="s">
        <v>11</v>
      </c>
      <c r="P1" s="5" t="s">
        <v>12</v>
      </c>
      <c r="Q1" s="5" t="s">
        <v>18</v>
      </c>
      <c r="R1" s="2" t="s">
        <v>13</v>
      </c>
      <c r="S1" s="6" t="s">
        <v>20</v>
      </c>
      <c r="T1" s="6" t="s">
        <v>14</v>
      </c>
    </row>
    <row r="2" spans="1:20" ht="15" thickTop="1" x14ac:dyDescent="0.3">
      <c r="A2" s="7">
        <v>45952</v>
      </c>
      <c r="B2" s="7">
        <v>45953</v>
      </c>
      <c r="C2" t="s">
        <v>22</v>
      </c>
      <c r="D2" t="s">
        <v>624</v>
      </c>
      <c r="E2" t="s">
        <v>1562</v>
      </c>
      <c r="F2">
        <v>431704542</v>
      </c>
      <c r="G2">
        <v>431704542</v>
      </c>
      <c r="H2">
        <v>39831</v>
      </c>
      <c r="I2">
        <v>40068</v>
      </c>
      <c r="J2">
        <f>Table1345678910111213234567891011[[#This Row],[LOADED LITRES]]-Table1345678910111213234567891011[[#This Row],[Offloading Litres]]</f>
        <v>-237</v>
      </c>
      <c r="K2" t="s">
        <v>958</v>
      </c>
      <c r="L2">
        <v>431704542</v>
      </c>
      <c r="M2" t="s">
        <v>2526</v>
      </c>
      <c r="N2">
        <v>0.79</v>
      </c>
      <c r="O2" s="8">
        <f>Table1345678910111213234567891011[[#This Row],[Offloading Litres]]*Table1345678910111213234567891011[[#This Row],[Rate]]</f>
        <v>31653.72</v>
      </c>
      <c r="P2" s="9" t="s">
        <v>2509</v>
      </c>
      <c r="Q2" t="s">
        <v>2804</v>
      </c>
    </row>
    <row r="3" spans="1:20" x14ac:dyDescent="0.3">
      <c r="A3" s="7">
        <v>45931</v>
      </c>
      <c r="B3" s="7">
        <v>45932</v>
      </c>
      <c r="C3" t="s">
        <v>34</v>
      </c>
      <c r="D3" t="s">
        <v>15</v>
      </c>
      <c r="E3" t="s">
        <v>40</v>
      </c>
      <c r="F3">
        <v>430815361</v>
      </c>
      <c r="G3">
        <v>803242452</v>
      </c>
      <c r="H3">
        <v>44182</v>
      </c>
      <c r="I3">
        <v>44158</v>
      </c>
      <c r="J3">
        <f>Table1345678910111213234567891011[[#This Row],[LOADED LITRES]]-Table1345678910111213234567891011[[#This Row],[Offloading Litres]]</f>
        <v>24</v>
      </c>
      <c r="K3" t="s">
        <v>25</v>
      </c>
      <c r="L3">
        <v>76260777</v>
      </c>
      <c r="M3" t="s">
        <v>2528</v>
      </c>
      <c r="N3">
        <v>0.74390000000000001</v>
      </c>
      <c r="O3" s="8">
        <f>Table1345678910111213234567891011[[#This Row],[Offloading Litres]]*Table1345678910111213234567891011[[#This Row],[Rate]]</f>
        <v>32849.136200000001</v>
      </c>
      <c r="P3" s="9" t="s">
        <v>2422</v>
      </c>
      <c r="Q3" t="s">
        <v>2734</v>
      </c>
    </row>
    <row r="4" spans="1:20" x14ac:dyDescent="0.3">
      <c r="A4" s="7">
        <v>45931</v>
      </c>
      <c r="B4" s="7">
        <v>45932</v>
      </c>
      <c r="C4" t="s">
        <v>21</v>
      </c>
      <c r="D4" t="s">
        <v>27</v>
      </c>
      <c r="E4" t="s">
        <v>16</v>
      </c>
      <c r="F4">
        <v>430827895</v>
      </c>
      <c r="G4">
        <v>803245017</v>
      </c>
      <c r="H4">
        <v>39256</v>
      </c>
      <c r="I4">
        <v>39349</v>
      </c>
      <c r="J4">
        <f>Table1345678910111213234567891011[[#This Row],[LOADED LITRES]]-Table1345678910111213234567891011[[#This Row],[Offloading Litres]]</f>
        <v>-93</v>
      </c>
      <c r="K4" t="s">
        <v>32</v>
      </c>
      <c r="L4">
        <v>76263301</v>
      </c>
      <c r="M4" t="s">
        <v>2529</v>
      </c>
      <c r="N4">
        <v>0.68799999999999994</v>
      </c>
      <c r="O4" s="8">
        <f>Table1345678910111213234567891011[[#This Row],[Offloading Litres]]*Table1345678910111213234567891011[[#This Row],[Rate]]</f>
        <v>27072.111999999997</v>
      </c>
      <c r="P4" s="9" t="s">
        <v>2426</v>
      </c>
      <c r="Q4" t="s">
        <v>2731</v>
      </c>
    </row>
    <row r="5" spans="1:20" x14ac:dyDescent="0.3">
      <c r="A5" s="7">
        <v>45931</v>
      </c>
      <c r="B5" s="7">
        <v>45933</v>
      </c>
      <c r="C5" t="s">
        <v>30</v>
      </c>
      <c r="D5" t="s">
        <v>349</v>
      </c>
      <c r="E5" t="s">
        <v>16</v>
      </c>
      <c r="F5">
        <v>430827897</v>
      </c>
      <c r="G5">
        <v>803246983</v>
      </c>
      <c r="H5">
        <v>38850</v>
      </c>
      <c r="I5">
        <v>38916</v>
      </c>
      <c r="J5">
        <f>Table1345678910111213234567891011[[#This Row],[LOADED LITRES]]-Table1345678910111213234567891011[[#This Row],[Offloading Litres]]</f>
        <v>-66</v>
      </c>
      <c r="K5" t="s">
        <v>32</v>
      </c>
      <c r="L5">
        <v>76265041</v>
      </c>
      <c r="M5" t="s">
        <v>2530</v>
      </c>
      <c r="N5">
        <v>0.68799999999999994</v>
      </c>
      <c r="O5" s="8">
        <f>Table1345678910111213234567891011[[#This Row],[Offloading Litres]]*Table1345678910111213234567891011[[#This Row],[Rate]]</f>
        <v>26774.207999999999</v>
      </c>
      <c r="P5" s="9" t="s">
        <v>2427</v>
      </c>
      <c r="Q5" t="s">
        <v>2733</v>
      </c>
    </row>
    <row r="6" spans="1:20" x14ac:dyDescent="0.3">
      <c r="A6" s="7">
        <v>45932</v>
      </c>
      <c r="B6" s="7">
        <v>45932</v>
      </c>
      <c r="C6" t="s">
        <v>2421</v>
      </c>
      <c r="D6" t="s">
        <v>24</v>
      </c>
      <c r="E6" t="s">
        <v>298</v>
      </c>
      <c r="F6">
        <v>430863809</v>
      </c>
      <c r="G6">
        <v>803247419</v>
      </c>
      <c r="H6">
        <v>39677</v>
      </c>
      <c r="I6">
        <v>39874</v>
      </c>
      <c r="J6">
        <f>Table1345678910111213234567891011[[#This Row],[LOADED LITRES]]-Table1345678910111213234567891011[[#This Row],[Offloading Litres]]</f>
        <v>-197</v>
      </c>
      <c r="K6" t="s">
        <v>32</v>
      </c>
      <c r="L6">
        <v>76265246</v>
      </c>
      <c r="M6" t="s">
        <v>2531</v>
      </c>
      <c r="N6">
        <v>0.75919999999999999</v>
      </c>
      <c r="O6" s="8">
        <f>Table1345678910111213234567891011[[#This Row],[Offloading Litres]]*Table1345678910111213234567891011[[#This Row],[Rate]]</f>
        <v>30272.340799999998</v>
      </c>
      <c r="P6" s="9" t="s">
        <v>2423</v>
      </c>
      <c r="Q6" t="s">
        <v>2732</v>
      </c>
    </row>
    <row r="7" spans="1:20" x14ac:dyDescent="0.3">
      <c r="A7" s="7">
        <v>45932</v>
      </c>
      <c r="B7" s="7">
        <v>45933</v>
      </c>
      <c r="C7" t="s">
        <v>22</v>
      </c>
      <c r="D7" t="s">
        <v>26</v>
      </c>
      <c r="E7" t="s">
        <v>40</v>
      </c>
      <c r="F7">
        <v>430815363</v>
      </c>
      <c r="G7">
        <v>803247590</v>
      </c>
      <c r="H7">
        <v>44303</v>
      </c>
      <c r="I7">
        <v>44236</v>
      </c>
      <c r="J7">
        <f>Table1345678910111213234567891011[[#This Row],[LOADED LITRES]]-Table1345678910111213234567891011[[#This Row],[Offloading Litres]]</f>
        <v>67</v>
      </c>
      <c r="K7" t="s">
        <v>25</v>
      </c>
      <c r="L7">
        <v>76265482</v>
      </c>
      <c r="M7" t="s">
        <v>2532</v>
      </c>
      <c r="N7">
        <v>0.74390000000000001</v>
      </c>
      <c r="O7" s="8">
        <f>Table1345678910111213234567891011[[#This Row],[Offloading Litres]]*Table1345678910111213234567891011[[#This Row],[Rate]]</f>
        <v>32907.160400000001</v>
      </c>
      <c r="P7" s="9" t="s">
        <v>2429</v>
      </c>
      <c r="Q7" t="s">
        <v>2728</v>
      </c>
    </row>
    <row r="8" spans="1:20" x14ac:dyDescent="0.3">
      <c r="A8" s="7">
        <v>45932</v>
      </c>
      <c r="B8" s="7">
        <v>45933</v>
      </c>
      <c r="C8" t="s">
        <v>1794</v>
      </c>
      <c r="D8" t="s">
        <v>35</v>
      </c>
      <c r="E8" t="s">
        <v>16</v>
      </c>
      <c r="F8">
        <v>430827899</v>
      </c>
      <c r="G8">
        <v>803248382</v>
      </c>
      <c r="H8">
        <v>39852</v>
      </c>
      <c r="I8">
        <v>39754</v>
      </c>
      <c r="J8">
        <f>Table1345678910111213234567891011[[#This Row],[LOADED LITRES]]-Table1345678910111213234567891011[[#This Row],[Offloading Litres]]</f>
        <v>98</v>
      </c>
      <c r="K8" t="s">
        <v>32</v>
      </c>
      <c r="L8">
        <v>76266127</v>
      </c>
      <c r="M8" t="s">
        <v>2533</v>
      </c>
      <c r="N8">
        <v>0.68799999999999994</v>
      </c>
      <c r="O8" s="8">
        <f>Table1345678910111213234567891011[[#This Row],[Offloading Litres]]*Table1345678910111213234567891011[[#This Row],[Rate]]</f>
        <v>27350.751999999997</v>
      </c>
      <c r="P8" s="9" t="s">
        <v>2430</v>
      </c>
      <c r="Q8" t="s">
        <v>2726</v>
      </c>
    </row>
    <row r="9" spans="1:20" x14ac:dyDescent="0.3">
      <c r="A9" s="7">
        <v>45932</v>
      </c>
      <c r="B9" s="7">
        <v>45933</v>
      </c>
      <c r="C9" t="s">
        <v>23</v>
      </c>
      <c r="D9" t="s">
        <v>287</v>
      </c>
      <c r="E9" t="s">
        <v>298</v>
      </c>
      <c r="F9">
        <v>430863822</v>
      </c>
      <c r="G9">
        <v>803248392</v>
      </c>
      <c r="H9">
        <v>38845</v>
      </c>
      <c r="I9">
        <v>38704</v>
      </c>
      <c r="J9">
        <f>Table1345678910111213234567891011[[#This Row],[LOADED LITRES]]-Table1345678910111213234567891011[[#This Row],[Offloading Litres]]</f>
        <v>141</v>
      </c>
      <c r="K9" t="s">
        <v>32</v>
      </c>
      <c r="L9">
        <v>76266150</v>
      </c>
      <c r="M9" t="s">
        <v>2534</v>
      </c>
      <c r="N9">
        <v>0.75919999999999999</v>
      </c>
      <c r="O9" s="8">
        <f>Table1345678910111213234567891011[[#This Row],[Offloading Litres]]*Table1345678910111213234567891011[[#This Row],[Rate]]</f>
        <v>29384.076799999999</v>
      </c>
      <c r="P9" s="9" t="s">
        <v>2428</v>
      </c>
      <c r="Q9" t="s">
        <v>2730</v>
      </c>
    </row>
    <row r="10" spans="1:20" x14ac:dyDescent="0.3">
      <c r="A10" s="7">
        <v>45932</v>
      </c>
      <c r="B10" s="7">
        <v>45934</v>
      </c>
      <c r="C10" t="s">
        <v>28</v>
      </c>
      <c r="D10" t="s">
        <v>2425</v>
      </c>
      <c r="E10" t="s">
        <v>298</v>
      </c>
      <c r="F10">
        <v>430863848</v>
      </c>
      <c r="G10">
        <v>803251420</v>
      </c>
      <c r="H10">
        <v>39713</v>
      </c>
      <c r="I10">
        <v>39531</v>
      </c>
      <c r="J10">
        <f>Table1345678910111213234567891011[[#This Row],[LOADED LITRES]]-Table1345678910111213234567891011[[#This Row],[Offloading Litres]]</f>
        <v>182</v>
      </c>
      <c r="K10" t="s">
        <v>32</v>
      </c>
      <c r="L10">
        <v>76269458</v>
      </c>
      <c r="M10" t="s">
        <v>2535</v>
      </c>
      <c r="N10">
        <v>0.75919999999999999</v>
      </c>
      <c r="O10" s="8">
        <f>Table1345678910111213234567891011[[#This Row],[Offloading Litres]]*Table1345678910111213234567891011[[#This Row],[Rate]]</f>
        <v>30011.9352</v>
      </c>
      <c r="P10" s="9" t="s">
        <v>2431</v>
      </c>
      <c r="Q10" t="s">
        <v>2725</v>
      </c>
    </row>
    <row r="11" spans="1:20" x14ac:dyDescent="0.3">
      <c r="A11" s="7">
        <v>45933</v>
      </c>
      <c r="B11" s="7">
        <v>45934</v>
      </c>
      <c r="C11" t="s">
        <v>34</v>
      </c>
      <c r="D11" t="s">
        <v>15</v>
      </c>
      <c r="E11" t="s">
        <v>298</v>
      </c>
      <c r="F11">
        <v>430863833</v>
      </c>
      <c r="G11">
        <v>803253019</v>
      </c>
      <c r="H11">
        <v>38969</v>
      </c>
      <c r="I11">
        <v>38860</v>
      </c>
      <c r="J11">
        <f>Table1345678910111213234567891011[[#This Row],[LOADED LITRES]]-Table1345678910111213234567891011[[#This Row],[Offloading Litres]]</f>
        <v>109</v>
      </c>
      <c r="K11" t="s">
        <v>32</v>
      </c>
      <c r="L11">
        <v>76271195</v>
      </c>
      <c r="M11" t="s">
        <v>2536</v>
      </c>
      <c r="N11">
        <v>0.75919999999999999</v>
      </c>
      <c r="O11" s="8">
        <f>Table1345678910111213234567891011[[#This Row],[Offloading Litres]]*Table1345678910111213234567891011[[#This Row],[Rate]]</f>
        <v>29502.511999999999</v>
      </c>
      <c r="P11" s="9" t="s">
        <v>2432</v>
      </c>
      <c r="Q11" t="s">
        <v>2724</v>
      </c>
    </row>
    <row r="12" spans="1:20" x14ac:dyDescent="0.3">
      <c r="A12" s="7">
        <v>45934</v>
      </c>
      <c r="B12" s="7">
        <v>45934</v>
      </c>
      <c r="C12" t="s">
        <v>2421</v>
      </c>
      <c r="D12" t="s">
        <v>24</v>
      </c>
      <c r="E12" t="s">
        <v>298</v>
      </c>
      <c r="F12">
        <v>430863895</v>
      </c>
      <c r="G12">
        <v>803256559</v>
      </c>
      <c r="H12">
        <v>39724</v>
      </c>
      <c r="I12">
        <v>39713</v>
      </c>
      <c r="J12">
        <f>Table1345678910111213234567891011[[#This Row],[LOADED LITRES]]-Table1345678910111213234567891011[[#This Row],[Offloading Litres]]</f>
        <v>11</v>
      </c>
      <c r="K12" t="s">
        <v>32</v>
      </c>
      <c r="L12">
        <v>76275601</v>
      </c>
      <c r="M12" t="s">
        <v>2537</v>
      </c>
      <c r="N12">
        <v>0.75919999999999999</v>
      </c>
      <c r="O12" s="8">
        <f>Table1345678910111213234567891011[[#This Row],[Offloading Litres]]*Table1345678910111213234567891011[[#This Row],[Rate]]</f>
        <v>30150.1096</v>
      </c>
      <c r="P12" s="9" t="s">
        <v>2424</v>
      </c>
      <c r="Q12" t="s">
        <v>2718</v>
      </c>
    </row>
    <row r="13" spans="1:20" x14ac:dyDescent="0.3">
      <c r="A13" s="7">
        <v>45934</v>
      </c>
      <c r="B13" s="7">
        <v>45935</v>
      </c>
      <c r="C13" t="s">
        <v>23</v>
      </c>
      <c r="D13" t="s">
        <v>287</v>
      </c>
      <c r="E13" t="s">
        <v>40</v>
      </c>
      <c r="F13">
        <v>430818895</v>
      </c>
      <c r="G13">
        <v>803256503</v>
      </c>
      <c r="H13">
        <v>44217</v>
      </c>
      <c r="I13">
        <v>44077</v>
      </c>
      <c r="J13">
        <f>Table1345678910111213234567891011[[#This Row],[LOADED LITRES]]-Table1345678910111213234567891011[[#This Row],[Offloading Litres]]</f>
        <v>140</v>
      </c>
      <c r="K13" t="s">
        <v>25</v>
      </c>
      <c r="L13">
        <v>76275529</v>
      </c>
      <c r="M13" t="s">
        <v>2538</v>
      </c>
      <c r="N13">
        <v>0.74390000000000001</v>
      </c>
      <c r="O13" s="8">
        <f>Table1345678910111213234567891011[[#This Row],[Offloading Litres]]*Table1345678910111213234567891011[[#This Row],[Rate]]</f>
        <v>32788.880299999997</v>
      </c>
      <c r="P13" s="9" t="s">
        <v>2436</v>
      </c>
      <c r="Q13" t="s">
        <v>2723</v>
      </c>
    </row>
    <row r="14" spans="1:20" x14ac:dyDescent="0.3">
      <c r="A14" s="7">
        <v>45934</v>
      </c>
      <c r="B14" s="7">
        <v>45934</v>
      </c>
      <c r="C14" t="s">
        <v>103</v>
      </c>
      <c r="D14" t="s">
        <v>47</v>
      </c>
      <c r="E14" t="s">
        <v>298</v>
      </c>
      <c r="F14">
        <v>430864422</v>
      </c>
      <c r="G14">
        <v>803256723</v>
      </c>
      <c r="H14">
        <v>39446</v>
      </c>
      <c r="I14">
        <v>39575</v>
      </c>
      <c r="J14">
        <f>Table1345678910111213234567891011[[#This Row],[LOADED LITRES]]-Table1345678910111213234567891011[[#This Row],[Offloading Litres]]</f>
        <v>-129</v>
      </c>
      <c r="K14" t="s">
        <v>32</v>
      </c>
      <c r="L14">
        <v>76275706</v>
      </c>
      <c r="M14" t="s">
        <v>2539</v>
      </c>
      <c r="N14">
        <v>0.75919999999999999</v>
      </c>
      <c r="O14" s="8">
        <f>Table1345678910111213234567891011[[#This Row],[Offloading Litres]]*Table1345678910111213234567891011[[#This Row],[Rate]]</f>
        <v>30045.34</v>
      </c>
      <c r="P14" s="9" t="s">
        <v>2433</v>
      </c>
      <c r="Q14" t="s">
        <v>2716</v>
      </c>
    </row>
    <row r="15" spans="1:20" x14ac:dyDescent="0.3">
      <c r="A15" s="7">
        <v>45934</v>
      </c>
      <c r="B15" s="7">
        <v>45934</v>
      </c>
      <c r="C15" t="s">
        <v>21</v>
      </c>
      <c r="D15" t="s">
        <v>27</v>
      </c>
      <c r="E15" t="s">
        <v>298</v>
      </c>
      <c r="F15">
        <v>430863877</v>
      </c>
      <c r="G15">
        <v>803256730</v>
      </c>
      <c r="H15">
        <v>39451</v>
      </c>
      <c r="I15">
        <v>39458</v>
      </c>
      <c r="J15">
        <f>Table1345678910111213234567891011[[#This Row],[LOADED LITRES]]-Table1345678910111213234567891011[[#This Row],[Offloading Litres]]</f>
        <v>-7</v>
      </c>
      <c r="K15" t="s">
        <v>32</v>
      </c>
      <c r="L15">
        <v>76275782</v>
      </c>
      <c r="M15" t="s">
        <v>2540</v>
      </c>
      <c r="N15">
        <v>0.75919999999999999</v>
      </c>
      <c r="O15" s="8">
        <f>Table1345678910111213234567891011[[#This Row],[Offloading Litres]]*Table1345678910111213234567891011[[#This Row],[Rate]]</f>
        <v>29956.513599999998</v>
      </c>
      <c r="P15" s="9" t="s">
        <v>2434</v>
      </c>
      <c r="Q15" t="s">
        <v>2722</v>
      </c>
    </row>
    <row r="16" spans="1:20" x14ac:dyDescent="0.3">
      <c r="A16" s="7">
        <v>45934</v>
      </c>
      <c r="B16" s="7">
        <v>45935</v>
      </c>
      <c r="C16" t="s">
        <v>30</v>
      </c>
      <c r="D16" t="s">
        <v>349</v>
      </c>
      <c r="E16" t="s">
        <v>298</v>
      </c>
      <c r="F16">
        <v>430867502</v>
      </c>
      <c r="G16">
        <v>803256824</v>
      </c>
      <c r="H16">
        <v>38914</v>
      </c>
      <c r="I16">
        <v>38872</v>
      </c>
      <c r="J16">
        <f>Table1345678910111213234567891011[[#This Row],[LOADED LITRES]]-Table1345678910111213234567891011[[#This Row],[Offloading Litres]]</f>
        <v>42</v>
      </c>
      <c r="K16" t="s">
        <v>32</v>
      </c>
      <c r="L16">
        <v>76275952</v>
      </c>
      <c r="M16" t="s">
        <v>2541</v>
      </c>
      <c r="N16">
        <v>0.75919999999999999</v>
      </c>
      <c r="O16" s="8">
        <f>Table1345678910111213234567891011[[#This Row],[Offloading Litres]]*Table1345678910111213234567891011[[#This Row],[Rate]]</f>
        <v>29511.6224</v>
      </c>
      <c r="P16" s="9" t="s">
        <v>2649</v>
      </c>
      <c r="Q16" t="s">
        <v>2720</v>
      </c>
    </row>
    <row r="17" spans="1:20" x14ac:dyDescent="0.3">
      <c r="A17" s="7">
        <v>45934</v>
      </c>
      <c r="B17" s="7">
        <v>45935</v>
      </c>
      <c r="C17" t="s">
        <v>17</v>
      </c>
      <c r="D17" t="s">
        <v>19</v>
      </c>
      <c r="E17" t="s">
        <v>40</v>
      </c>
      <c r="F17">
        <v>430815423</v>
      </c>
      <c r="G17">
        <v>803256644</v>
      </c>
      <c r="H17">
        <v>44208</v>
      </c>
      <c r="I17">
        <v>44115</v>
      </c>
      <c r="J17">
        <f>Table1345678910111213234567891011[[#This Row],[LOADED LITRES]]-Table1345678910111213234567891011[[#This Row],[Offloading Litres]]</f>
        <v>93</v>
      </c>
      <c r="K17" t="s">
        <v>25</v>
      </c>
      <c r="L17">
        <v>76275709</v>
      </c>
      <c r="M17" t="s">
        <v>2542</v>
      </c>
      <c r="N17">
        <v>0.74390000000000001</v>
      </c>
      <c r="O17" s="8">
        <f>Table1345678910111213234567891011[[#This Row],[Offloading Litres]]*Table1345678910111213234567891011[[#This Row],[Rate]]</f>
        <v>32817.148500000003</v>
      </c>
      <c r="P17" s="9" t="s">
        <v>2435</v>
      </c>
      <c r="Q17" t="s">
        <v>2717</v>
      </c>
    </row>
    <row r="18" spans="1:20" x14ac:dyDescent="0.3">
      <c r="A18" s="7">
        <v>45934</v>
      </c>
      <c r="B18" s="7">
        <v>45935</v>
      </c>
      <c r="C18" t="s">
        <v>22</v>
      </c>
      <c r="D18" t="s">
        <v>26</v>
      </c>
      <c r="E18" t="s">
        <v>40</v>
      </c>
      <c r="F18">
        <v>430818896</v>
      </c>
      <c r="G18">
        <v>803257892</v>
      </c>
      <c r="H18">
        <v>44201</v>
      </c>
      <c r="I18">
        <v>44412</v>
      </c>
      <c r="J18">
        <f>Table1345678910111213234567891011[[#This Row],[LOADED LITRES]]-Table1345678910111213234567891011[[#This Row],[Offloading Litres]]</f>
        <v>-211</v>
      </c>
      <c r="K18" t="s">
        <v>25</v>
      </c>
      <c r="L18">
        <v>76277195</v>
      </c>
      <c r="M18" t="s">
        <v>2543</v>
      </c>
      <c r="N18">
        <v>0.74390000000000001</v>
      </c>
      <c r="O18" s="8">
        <f>Table1345678910111213234567891011[[#This Row],[Offloading Litres]]*Table1345678910111213234567891011[[#This Row],[Rate]]</f>
        <v>33038.086799999997</v>
      </c>
      <c r="P18" s="9" t="s">
        <v>2437</v>
      </c>
      <c r="Q18" t="s">
        <v>2721</v>
      </c>
    </row>
    <row r="19" spans="1:20" x14ac:dyDescent="0.3">
      <c r="A19" s="7">
        <v>45934</v>
      </c>
      <c r="B19" s="7">
        <v>45935</v>
      </c>
      <c r="C19" t="s">
        <v>1794</v>
      </c>
      <c r="D19" t="s">
        <v>624</v>
      </c>
      <c r="E19" t="s">
        <v>40</v>
      </c>
      <c r="F19">
        <v>430818901</v>
      </c>
      <c r="G19">
        <v>803258538</v>
      </c>
      <c r="H19">
        <v>44740</v>
      </c>
      <c r="I19">
        <v>44957</v>
      </c>
      <c r="J19">
        <f>Table1345678910111213234567891011[[#This Row],[LOADED LITRES]]-Table1345678910111213234567891011[[#This Row],[Offloading Litres]]</f>
        <v>-217</v>
      </c>
      <c r="K19" t="s">
        <v>25</v>
      </c>
      <c r="L19">
        <v>76277909</v>
      </c>
      <c r="M19" t="s">
        <v>2544</v>
      </c>
      <c r="N19">
        <v>0.74390000000000001</v>
      </c>
      <c r="O19" s="8">
        <f>Table1345678910111213234567891011[[#This Row],[Offloading Litres]]*Table1345678910111213234567891011[[#This Row],[Rate]]</f>
        <v>33443.512300000002</v>
      </c>
      <c r="P19" s="9" t="s">
        <v>2438</v>
      </c>
      <c r="Q19" t="s">
        <v>2719</v>
      </c>
    </row>
    <row r="20" spans="1:20" x14ac:dyDescent="0.3">
      <c r="A20" s="7">
        <v>45935</v>
      </c>
      <c r="B20" s="7">
        <v>45936</v>
      </c>
      <c r="C20" t="s">
        <v>28</v>
      </c>
      <c r="D20" t="s">
        <v>2425</v>
      </c>
      <c r="E20" t="s">
        <v>298</v>
      </c>
      <c r="F20">
        <v>430867519</v>
      </c>
      <c r="G20">
        <v>803258875</v>
      </c>
      <c r="H20">
        <v>39710</v>
      </c>
      <c r="I20">
        <v>39748</v>
      </c>
      <c r="J20">
        <f>Table1345678910111213234567891011[[#This Row],[LOADED LITRES]]-Table1345678910111213234567891011[[#This Row],[Offloading Litres]]</f>
        <v>-38</v>
      </c>
      <c r="K20" t="s">
        <v>32</v>
      </c>
      <c r="L20">
        <v>76278225</v>
      </c>
      <c r="M20" t="s">
        <v>2545</v>
      </c>
      <c r="N20">
        <v>0.75919999999999999</v>
      </c>
      <c r="O20" s="8">
        <f>Table1345678910111213234567891011[[#This Row],[Offloading Litres]]*Table1345678910111213234567891011[[#This Row],[Rate]]</f>
        <v>30176.6816</v>
      </c>
      <c r="P20" s="9" t="s">
        <v>2439</v>
      </c>
      <c r="Q20" t="s">
        <v>2768</v>
      </c>
    </row>
    <row r="21" spans="1:20" x14ac:dyDescent="0.3">
      <c r="A21" s="7">
        <v>45935</v>
      </c>
      <c r="B21" s="7">
        <v>45937</v>
      </c>
      <c r="C21" t="s">
        <v>34</v>
      </c>
      <c r="D21" t="s">
        <v>15</v>
      </c>
      <c r="E21" t="s">
        <v>16</v>
      </c>
      <c r="F21">
        <v>430827901</v>
      </c>
      <c r="G21">
        <v>803258933</v>
      </c>
      <c r="H21">
        <v>38912</v>
      </c>
      <c r="I21">
        <v>38928</v>
      </c>
      <c r="J21">
        <f>Table1345678910111213234567891011[[#This Row],[LOADED LITRES]]-Table1345678910111213234567891011[[#This Row],[Offloading Litres]]</f>
        <v>-16</v>
      </c>
      <c r="K21" t="s">
        <v>32</v>
      </c>
      <c r="L21">
        <v>76278295</v>
      </c>
      <c r="M21" t="s">
        <v>2546</v>
      </c>
      <c r="N21">
        <v>0.68799999999999994</v>
      </c>
      <c r="O21" s="8">
        <f>Table1345678910111213234567891011[[#This Row],[Offloading Litres]]*Table1345678910111213234567891011[[#This Row],[Rate]]</f>
        <v>26782.463999999996</v>
      </c>
      <c r="P21" s="9" t="s">
        <v>2442</v>
      </c>
      <c r="Q21" t="s">
        <v>2740</v>
      </c>
    </row>
    <row r="22" spans="1:20" x14ac:dyDescent="0.3">
      <c r="A22" s="7">
        <v>45935</v>
      </c>
      <c r="B22" s="7">
        <v>45936</v>
      </c>
      <c r="C22" t="s">
        <v>30</v>
      </c>
      <c r="D22" t="s">
        <v>349</v>
      </c>
      <c r="E22" t="s">
        <v>298</v>
      </c>
      <c r="F22">
        <v>430867526</v>
      </c>
      <c r="G22">
        <v>803259368</v>
      </c>
      <c r="H22">
        <v>38874</v>
      </c>
      <c r="I22">
        <v>38965</v>
      </c>
      <c r="J22">
        <f>Table1345678910111213234567891011[[#This Row],[LOADED LITRES]]-Table1345678910111213234567891011[[#This Row],[Offloading Litres]]</f>
        <v>-91</v>
      </c>
      <c r="K22" t="s">
        <v>32</v>
      </c>
      <c r="L22">
        <v>76278801</v>
      </c>
      <c r="M22" t="s">
        <v>2547</v>
      </c>
      <c r="N22">
        <v>0.75919999999999999</v>
      </c>
      <c r="O22" s="8">
        <f>Table1345678910111213234567891011[[#This Row],[Offloading Litres]]*Table1345678910111213234567891011[[#This Row],[Rate]]</f>
        <v>29582.227999999999</v>
      </c>
      <c r="P22" s="9" t="s">
        <v>2440</v>
      </c>
      <c r="Q22" t="s">
        <v>2769</v>
      </c>
    </row>
    <row r="23" spans="1:20" x14ac:dyDescent="0.3">
      <c r="A23" s="7">
        <v>45935</v>
      </c>
      <c r="B23" s="7">
        <v>45937</v>
      </c>
      <c r="C23" t="s">
        <v>21</v>
      </c>
      <c r="D23" t="s">
        <v>27</v>
      </c>
      <c r="E23" t="s">
        <v>16</v>
      </c>
      <c r="F23">
        <v>430827902</v>
      </c>
      <c r="G23">
        <v>803259381</v>
      </c>
      <c r="H23">
        <v>39381</v>
      </c>
      <c r="I23">
        <v>39545</v>
      </c>
      <c r="J23">
        <f>Table1345678910111213234567891011[[#This Row],[LOADED LITRES]]-Table1345678910111213234567891011[[#This Row],[Offloading Litres]]</f>
        <v>-164</v>
      </c>
      <c r="K23" t="s">
        <v>32</v>
      </c>
      <c r="L23">
        <v>76278817</v>
      </c>
      <c r="M23" t="s">
        <v>2548</v>
      </c>
      <c r="N23">
        <v>0.68799999999999994</v>
      </c>
      <c r="O23" s="8">
        <f>Table1345678910111213234567891011[[#This Row],[Offloading Litres]]*Table1345678910111213234567891011[[#This Row],[Rate]]</f>
        <v>27206.959999999999</v>
      </c>
      <c r="P23" s="9" t="s">
        <v>2446</v>
      </c>
      <c r="Q23" t="s">
        <v>2744</v>
      </c>
    </row>
    <row r="24" spans="1:20" x14ac:dyDescent="0.3">
      <c r="A24" s="7">
        <v>45935</v>
      </c>
      <c r="B24" s="7">
        <v>45937</v>
      </c>
      <c r="C24" t="s">
        <v>103</v>
      </c>
      <c r="D24" t="s">
        <v>47</v>
      </c>
      <c r="E24" t="s">
        <v>16</v>
      </c>
      <c r="F24">
        <v>430827903</v>
      </c>
      <c r="G24">
        <v>803259342</v>
      </c>
      <c r="H24">
        <v>39375</v>
      </c>
      <c r="I24">
        <v>39480</v>
      </c>
      <c r="J24">
        <f>Table1345678910111213234567891011[[#This Row],[LOADED LITRES]]-Table1345678910111213234567891011[[#This Row],[Offloading Litres]]</f>
        <v>-105</v>
      </c>
      <c r="K24" t="s">
        <v>32</v>
      </c>
      <c r="L24">
        <v>76278770</v>
      </c>
      <c r="M24" t="s">
        <v>2549</v>
      </c>
      <c r="N24">
        <v>0.68799999999999994</v>
      </c>
      <c r="O24" s="8">
        <f>Table1345678910111213234567891011[[#This Row],[Offloading Litres]]*Table1345678910111213234567891011[[#This Row],[Rate]]</f>
        <v>27162.239999999998</v>
      </c>
      <c r="P24" s="9" t="s">
        <v>2443</v>
      </c>
      <c r="Q24" t="s">
        <v>2743</v>
      </c>
    </row>
    <row r="25" spans="1:20" x14ac:dyDescent="0.3">
      <c r="A25" s="7">
        <v>45935</v>
      </c>
      <c r="B25" s="7">
        <v>45937</v>
      </c>
      <c r="C25" t="s">
        <v>2421</v>
      </c>
      <c r="D25" t="s">
        <v>24</v>
      </c>
      <c r="E25" t="s">
        <v>16</v>
      </c>
      <c r="F25">
        <v>430574464</v>
      </c>
      <c r="G25">
        <v>803259339</v>
      </c>
      <c r="H25">
        <v>39666</v>
      </c>
      <c r="I25">
        <v>39620</v>
      </c>
      <c r="J25">
        <f>Table1345678910111213234567891011[[#This Row],[LOADED LITRES]]-Table1345678910111213234567891011[[#This Row],[Offloading Litres]]</f>
        <v>46</v>
      </c>
      <c r="K25" t="s">
        <v>32</v>
      </c>
      <c r="L25">
        <v>76278757</v>
      </c>
      <c r="M25" t="s">
        <v>2550</v>
      </c>
      <c r="N25">
        <v>0.68799999999999994</v>
      </c>
      <c r="O25" s="8">
        <f>Table1345678910111213234567891011[[#This Row],[Offloading Litres]]*Table1345678910111213234567891011[[#This Row],[Rate]]</f>
        <v>27258.559999999998</v>
      </c>
      <c r="P25" s="9" t="s">
        <v>2445</v>
      </c>
      <c r="Q25" t="s">
        <v>2767</v>
      </c>
    </row>
    <row r="26" spans="1:20" x14ac:dyDescent="0.3">
      <c r="A26" s="7">
        <v>45935</v>
      </c>
      <c r="B26" s="7">
        <v>45936</v>
      </c>
      <c r="C26" t="s">
        <v>23</v>
      </c>
      <c r="D26" t="s">
        <v>287</v>
      </c>
      <c r="E26" t="s">
        <v>298</v>
      </c>
      <c r="F26">
        <v>430867537</v>
      </c>
      <c r="G26">
        <v>803259443</v>
      </c>
      <c r="H26">
        <v>38891</v>
      </c>
      <c r="I26">
        <v>38983</v>
      </c>
      <c r="J26">
        <f>Table1345678910111213234567891011[[#This Row],[LOADED LITRES]]-Table1345678910111213234567891011[[#This Row],[Offloading Litres]]</f>
        <v>-92</v>
      </c>
      <c r="K26" t="s">
        <v>32</v>
      </c>
      <c r="L26">
        <v>76278911</v>
      </c>
      <c r="M26" t="s">
        <v>2551</v>
      </c>
      <c r="N26">
        <v>0.75919999999999999</v>
      </c>
      <c r="O26" s="8">
        <f>Table1345678910111213234567891011[[#This Row],[Offloading Litres]]*Table1345678910111213234567891011[[#This Row],[Rate]]</f>
        <v>29595.893599999999</v>
      </c>
      <c r="P26" s="9" t="s">
        <v>2441</v>
      </c>
      <c r="Q26" t="s">
        <v>2741</v>
      </c>
    </row>
    <row r="27" spans="1:20" x14ac:dyDescent="0.3">
      <c r="A27" s="7">
        <v>45935</v>
      </c>
      <c r="B27" s="7">
        <v>45937</v>
      </c>
      <c r="C27" t="s">
        <v>17</v>
      </c>
      <c r="D27" t="s">
        <v>19</v>
      </c>
      <c r="E27" t="s">
        <v>16</v>
      </c>
      <c r="F27">
        <v>430827904</v>
      </c>
      <c r="G27">
        <v>803259517</v>
      </c>
      <c r="H27">
        <v>38901</v>
      </c>
      <c r="I27">
        <v>38897</v>
      </c>
      <c r="J27">
        <f>Table1345678910111213234567891011[[#This Row],[LOADED LITRES]]-Table1345678910111213234567891011[[#This Row],[Offloading Litres]]</f>
        <v>4</v>
      </c>
      <c r="K27" t="s">
        <v>32</v>
      </c>
      <c r="L27">
        <v>76278933</v>
      </c>
      <c r="M27" t="s">
        <v>2552</v>
      </c>
      <c r="N27">
        <v>0.68799999999999994</v>
      </c>
      <c r="O27" s="8">
        <f>Table1345678910111213234567891011[[#This Row],[Offloading Litres]]*Table1345678910111213234567891011[[#This Row],[Rate]]</f>
        <v>26761.135999999999</v>
      </c>
      <c r="P27" s="9" t="s">
        <v>2444</v>
      </c>
      <c r="Q27" t="s">
        <v>2856</v>
      </c>
    </row>
    <row r="28" spans="1:20" x14ac:dyDescent="0.3">
      <c r="A28" s="7">
        <v>45936</v>
      </c>
      <c r="B28" s="7">
        <v>45937</v>
      </c>
      <c r="C28" t="s">
        <v>22</v>
      </c>
      <c r="D28" t="s">
        <v>26</v>
      </c>
      <c r="E28" t="s">
        <v>298</v>
      </c>
      <c r="F28">
        <v>430867550</v>
      </c>
      <c r="G28">
        <v>803264119</v>
      </c>
      <c r="H28">
        <v>39879</v>
      </c>
      <c r="I28">
        <v>39948</v>
      </c>
      <c r="J28">
        <f>Table1345678910111213234567891011[[#This Row],[LOADED LITRES]]-Table1345678910111213234567891011[[#This Row],[Offloading Litres]]</f>
        <v>-69</v>
      </c>
      <c r="K28" t="s">
        <v>32</v>
      </c>
      <c r="L28">
        <v>76283719</v>
      </c>
      <c r="M28" t="s">
        <v>2553</v>
      </c>
      <c r="N28">
        <v>0.75919999999999999</v>
      </c>
      <c r="O28" s="8">
        <f>Table1345678910111213234567891011[[#This Row],[Offloading Litres]]*Table1345678910111213234567891011[[#This Row],[Rate]]</f>
        <v>30328.5216</v>
      </c>
      <c r="P28" s="9" t="s">
        <v>2447</v>
      </c>
      <c r="Q28" t="s">
        <v>2738</v>
      </c>
    </row>
    <row r="29" spans="1:20" x14ac:dyDescent="0.3">
      <c r="A29" s="7">
        <v>45936</v>
      </c>
      <c r="B29" s="7">
        <v>45937</v>
      </c>
      <c r="C29" t="s">
        <v>1794</v>
      </c>
      <c r="D29" t="s">
        <v>624</v>
      </c>
      <c r="E29" t="s">
        <v>298</v>
      </c>
      <c r="F29">
        <v>430867564</v>
      </c>
      <c r="G29">
        <v>803264177</v>
      </c>
      <c r="H29">
        <v>39876</v>
      </c>
      <c r="I29">
        <v>39863</v>
      </c>
      <c r="J29">
        <f>Table1345678910111213234567891011[[#This Row],[LOADED LITRES]]-Table1345678910111213234567891011[[#This Row],[Offloading Litres]]</f>
        <v>13</v>
      </c>
      <c r="K29" t="s">
        <v>32</v>
      </c>
      <c r="L29">
        <v>76283803</v>
      </c>
      <c r="M29" t="s">
        <v>2554</v>
      </c>
      <c r="N29">
        <v>0.75919999999999999</v>
      </c>
      <c r="O29" s="8">
        <f>Table1345678910111213234567891011[[#This Row],[Offloading Litres]]*Table1345678910111213234567891011[[#This Row],[Rate]]</f>
        <v>30263.989600000001</v>
      </c>
      <c r="P29" s="9" t="s">
        <v>2448</v>
      </c>
      <c r="Q29" t="s">
        <v>2739</v>
      </c>
    </row>
    <row r="30" spans="1:20" s="15" customFormat="1" x14ac:dyDescent="0.3">
      <c r="A30" s="7">
        <v>45937</v>
      </c>
      <c r="B30" s="7">
        <v>45939</v>
      </c>
      <c r="C30" t="s">
        <v>34</v>
      </c>
      <c r="D30" t="s">
        <v>15</v>
      </c>
      <c r="E30" t="s">
        <v>40</v>
      </c>
      <c r="F30">
        <v>431087819</v>
      </c>
      <c r="G30">
        <v>803270327</v>
      </c>
      <c r="H30">
        <v>44104</v>
      </c>
      <c r="I30">
        <v>44314</v>
      </c>
      <c r="J30">
        <f>Table1345678910111213234567891011[[#This Row],[LOADED LITRES]]-Table1345678910111213234567891011[[#This Row],[Offloading Litres]]</f>
        <v>-210</v>
      </c>
      <c r="K30" t="s">
        <v>25</v>
      </c>
      <c r="L30">
        <v>76288374</v>
      </c>
      <c r="M30" t="s">
        <v>2557</v>
      </c>
      <c r="N30">
        <v>0.74390000000000001</v>
      </c>
      <c r="O30" s="8">
        <f>Table1345678910111213234567891011[[#This Row],[Offloading Litres]]*Table1345678910111213234567891011[[#This Row],[Rate]]</f>
        <v>32965.184600000001</v>
      </c>
      <c r="P30" s="9" t="s">
        <v>2455</v>
      </c>
      <c r="Q30" t="s">
        <v>2765</v>
      </c>
      <c r="R30"/>
      <c r="S30"/>
      <c r="T30"/>
    </row>
    <row r="31" spans="1:20" x14ac:dyDescent="0.3">
      <c r="A31" s="7">
        <v>45937</v>
      </c>
      <c r="B31" s="7">
        <v>45939</v>
      </c>
      <c r="C31" t="s">
        <v>30</v>
      </c>
      <c r="D31" t="s">
        <v>349</v>
      </c>
      <c r="E31" t="s">
        <v>40</v>
      </c>
      <c r="F31">
        <v>431087836</v>
      </c>
      <c r="G31">
        <v>803270435</v>
      </c>
      <c r="H31">
        <v>44115</v>
      </c>
      <c r="I31">
        <v>44271</v>
      </c>
      <c r="J31">
        <f>Table1345678910111213234567891011[[#This Row],[LOADED LITRES]]-Table1345678910111213234567891011[[#This Row],[Offloading Litres]]</f>
        <v>-156</v>
      </c>
      <c r="K31" t="s">
        <v>25</v>
      </c>
      <c r="L31">
        <v>76288433</v>
      </c>
      <c r="M31" t="s">
        <v>2558</v>
      </c>
      <c r="N31">
        <v>0.74390000000000001</v>
      </c>
      <c r="O31" s="8">
        <f>Table1345678910111213234567891011[[#This Row],[Offloading Litres]]*Table1345678910111213234567891011[[#This Row],[Rate]]</f>
        <v>32933.196900000003</v>
      </c>
      <c r="P31" s="9" t="s">
        <v>2454</v>
      </c>
      <c r="Q31" t="s">
        <v>2760</v>
      </c>
    </row>
    <row r="32" spans="1:20" x14ac:dyDescent="0.3">
      <c r="A32" s="7">
        <v>45938</v>
      </c>
      <c r="B32" s="7">
        <v>45939</v>
      </c>
      <c r="C32" t="s">
        <v>17</v>
      </c>
      <c r="D32" t="s">
        <v>19</v>
      </c>
      <c r="E32" t="s">
        <v>298</v>
      </c>
      <c r="F32">
        <v>430867744</v>
      </c>
      <c r="G32">
        <v>803272208</v>
      </c>
      <c r="H32">
        <v>38791</v>
      </c>
      <c r="I32">
        <v>38855</v>
      </c>
      <c r="J32">
        <f>Table1345678910111213234567891011[[#This Row],[LOADED LITRES]]-Table1345678910111213234567891011[[#This Row],[Offloading Litres]]</f>
        <v>-64</v>
      </c>
      <c r="K32" t="s">
        <v>32</v>
      </c>
      <c r="L32">
        <v>76290139</v>
      </c>
      <c r="M32" t="s">
        <v>2559</v>
      </c>
      <c r="N32">
        <v>0.75919999999999999</v>
      </c>
      <c r="O32" s="8">
        <f>Table1345678910111213234567891011[[#This Row],[Offloading Litres]]*Table1345678910111213234567891011[[#This Row],[Rate]]</f>
        <v>29498.716</v>
      </c>
      <c r="P32" s="9" t="s">
        <v>2451</v>
      </c>
      <c r="Q32" t="s">
        <v>2755</v>
      </c>
    </row>
    <row r="33" spans="1:20" x14ac:dyDescent="0.3">
      <c r="A33" s="7">
        <v>45938</v>
      </c>
      <c r="B33" s="7">
        <v>45939</v>
      </c>
      <c r="C33" t="s">
        <v>103</v>
      </c>
      <c r="D33" t="s">
        <v>47</v>
      </c>
      <c r="E33" t="s">
        <v>298</v>
      </c>
      <c r="F33">
        <v>430868105</v>
      </c>
      <c r="G33">
        <v>803273525</v>
      </c>
      <c r="H33">
        <v>39229</v>
      </c>
      <c r="I33">
        <v>39504</v>
      </c>
      <c r="J33">
        <f>Table1345678910111213234567891011[[#This Row],[LOADED LITRES]]-Table1345678910111213234567891011[[#This Row],[Offloading Litres]]</f>
        <v>-275</v>
      </c>
      <c r="K33" t="s">
        <v>32</v>
      </c>
      <c r="L33">
        <v>76291742</v>
      </c>
      <c r="M33" t="s">
        <v>2560</v>
      </c>
      <c r="N33">
        <v>0.75919999999999999</v>
      </c>
      <c r="O33" s="8">
        <f>Table1345678910111213234567891011[[#This Row],[Offloading Litres]]*Table1345678910111213234567891011[[#This Row],[Rate]]</f>
        <v>29991.436799999999</v>
      </c>
      <c r="P33" s="9" t="s">
        <v>2452</v>
      </c>
      <c r="Q33" t="s">
        <v>2758</v>
      </c>
    </row>
    <row r="34" spans="1:20" x14ac:dyDescent="0.3">
      <c r="A34" s="7">
        <v>45938</v>
      </c>
      <c r="B34" s="7">
        <v>45939</v>
      </c>
      <c r="C34" t="s">
        <v>21</v>
      </c>
      <c r="D34" t="s">
        <v>27</v>
      </c>
      <c r="E34" t="s">
        <v>298</v>
      </c>
      <c r="F34">
        <v>430867574</v>
      </c>
      <c r="G34">
        <v>803274250</v>
      </c>
      <c r="H34">
        <v>39267</v>
      </c>
      <c r="I34">
        <v>39409</v>
      </c>
      <c r="J34">
        <f>Table1345678910111213234567891011[[#This Row],[LOADED LITRES]]-Table1345678910111213234567891011[[#This Row],[Offloading Litres]]</f>
        <v>-142</v>
      </c>
      <c r="K34" t="s">
        <v>32</v>
      </c>
      <c r="L34">
        <v>76262472</v>
      </c>
      <c r="M34" t="s">
        <v>2561</v>
      </c>
      <c r="N34">
        <v>0.75919999999999999</v>
      </c>
      <c r="O34" s="8">
        <f>Table1345678910111213234567891011[[#This Row],[Offloading Litres]]*Table1345678910111213234567891011[[#This Row],[Rate]]</f>
        <v>29919.3128</v>
      </c>
      <c r="P34" s="9" t="s">
        <v>2453</v>
      </c>
      <c r="Q34" t="s">
        <v>2756</v>
      </c>
    </row>
    <row r="35" spans="1:20" x14ac:dyDescent="0.3">
      <c r="A35" s="7">
        <v>45938</v>
      </c>
      <c r="B35" s="7">
        <v>45939</v>
      </c>
      <c r="C35" t="s">
        <v>22</v>
      </c>
      <c r="D35" t="s">
        <v>26</v>
      </c>
      <c r="E35" t="s">
        <v>16</v>
      </c>
      <c r="F35">
        <v>431078495</v>
      </c>
      <c r="G35">
        <v>803274857</v>
      </c>
      <c r="H35">
        <v>39802</v>
      </c>
      <c r="I35">
        <v>39942</v>
      </c>
      <c r="J35">
        <f>Table1345678910111213234567891011[[#This Row],[LOADED LITRES]]-Table1345678910111213234567891011[[#This Row],[Offloading Litres]]</f>
        <v>-140</v>
      </c>
      <c r="K35" t="s">
        <v>32</v>
      </c>
      <c r="L35">
        <v>76293097</v>
      </c>
      <c r="M35" t="s">
        <v>2562</v>
      </c>
      <c r="N35">
        <v>0.68799999999999994</v>
      </c>
      <c r="O35" s="8">
        <f>Table1345678910111213234567891011[[#This Row],[Offloading Litres]]*Table1345678910111213234567891011[[#This Row],[Rate]]</f>
        <v>27480.095999999998</v>
      </c>
      <c r="P35" s="9" t="s">
        <v>2456</v>
      </c>
      <c r="Q35" t="s">
        <v>2759</v>
      </c>
    </row>
    <row r="36" spans="1:20" x14ac:dyDescent="0.3">
      <c r="A36" s="7">
        <v>45938</v>
      </c>
      <c r="B36" s="7">
        <v>45940</v>
      </c>
      <c r="C36" t="s">
        <v>1794</v>
      </c>
      <c r="D36" t="s">
        <v>624</v>
      </c>
      <c r="E36" t="s">
        <v>16</v>
      </c>
      <c r="F36">
        <v>431078507</v>
      </c>
      <c r="G36">
        <v>803274675</v>
      </c>
      <c r="H36">
        <v>39784</v>
      </c>
      <c r="I36">
        <v>39818</v>
      </c>
      <c r="J36">
        <f>Table1345678910111213234567891011[[#This Row],[LOADED LITRES]]-Table1345678910111213234567891011[[#This Row],[Offloading Litres]]</f>
        <v>-34</v>
      </c>
      <c r="K36" t="s">
        <v>32</v>
      </c>
      <c r="L36">
        <v>76292858</v>
      </c>
      <c r="M36" t="s">
        <v>2563</v>
      </c>
      <c r="N36">
        <v>0.68799999999999994</v>
      </c>
      <c r="O36" s="8">
        <f>Table1345678910111213234567891011[[#This Row],[Offloading Litres]]*Table1345678910111213234567891011[[#This Row],[Rate]]</f>
        <v>27394.783999999996</v>
      </c>
      <c r="P36" s="9" t="s">
        <v>2457</v>
      </c>
      <c r="Q36" t="s">
        <v>2757</v>
      </c>
    </row>
    <row r="37" spans="1:20" x14ac:dyDescent="0.3">
      <c r="A37" s="7">
        <v>45939</v>
      </c>
      <c r="B37" s="7">
        <v>45940</v>
      </c>
      <c r="C37" t="s">
        <v>23</v>
      </c>
      <c r="D37" t="s">
        <v>287</v>
      </c>
      <c r="E37" t="s">
        <v>16</v>
      </c>
      <c r="F37">
        <v>431078763</v>
      </c>
      <c r="G37">
        <v>803275791</v>
      </c>
      <c r="H37">
        <v>38826</v>
      </c>
      <c r="I37">
        <v>38890</v>
      </c>
      <c r="J37">
        <f>Table1345678910111213234567891011[[#This Row],[LOADED LITRES]]-Table1345678910111213234567891011[[#This Row],[Offloading Litres]]</f>
        <v>-64</v>
      </c>
      <c r="K37" t="s">
        <v>32</v>
      </c>
      <c r="L37">
        <v>76294083</v>
      </c>
      <c r="M37" t="s">
        <v>2564</v>
      </c>
      <c r="N37">
        <v>0.68799999999999994</v>
      </c>
      <c r="O37" s="8">
        <f>Table1345678910111213234567891011[[#This Row],[Offloading Litres]]*Table1345678910111213234567891011[[#This Row],[Rate]]</f>
        <v>26756.319999999996</v>
      </c>
      <c r="P37" s="9" t="s">
        <v>2458</v>
      </c>
      <c r="Q37" t="s">
        <v>2752</v>
      </c>
    </row>
    <row r="38" spans="1:20" x14ac:dyDescent="0.3">
      <c r="A38" s="7">
        <v>45939</v>
      </c>
      <c r="B38" s="7">
        <v>45941</v>
      </c>
      <c r="C38" t="s">
        <v>28</v>
      </c>
      <c r="D38" t="s">
        <v>2425</v>
      </c>
      <c r="E38" t="s">
        <v>40</v>
      </c>
      <c r="F38">
        <v>431087833</v>
      </c>
      <c r="G38">
        <v>803279016</v>
      </c>
      <c r="H38">
        <v>44314</v>
      </c>
      <c r="I38">
        <v>44462</v>
      </c>
      <c r="J38">
        <f>Table1345678910111213234567891011[[#This Row],[LOADED LITRES]]-Table1345678910111213234567891011[[#This Row],[Offloading Litres]]</f>
        <v>-148</v>
      </c>
      <c r="K38" t="s">
        <v>25</v>
      </c>
      <c r="L38">
        <v>76297496</v>
      </c>
      <c r="M38" t="s">
        <v>2565</v>
      </c>
      <c r="N38">
        <v>0.74390000000000001</v>
      </c>
      <c r="O38" s="8">
        <f>Table1345678910111213234567891011[[#This Row],[Offloading Litres]]*Table1345678910111213234567891011[[#This Row],[Rate]]</f>
        <v>33075.281799999997</v>
      </c>
      <c r="P38" s="9" t="s">
        <v>2459</v>
      </c>
      <c r="Q38" t="s">
        <v>2751</v>
      </c>
    </row>
    <row r="39" spans="1:20" x14ac:dyDescent="0.3">
      <c r="A39" s="7">
        <v>45940</v>
      </c>
      <c r="B39" s="7">
        <v>45942</v>
      </c>
      <c r="C39" t="s">
        <v>21</v>
      </c>
      <c r="D39" t="s">
        <v>27</v>
      </c>
      <c r="E39" t="s">
        <v>298</v>
      </c>
      <c r="F39">
        <v>430868113</v>
      </c>
      <c r="G39">
        <v>803281128</v>
      </c>
      <c r="H39">
        <v>39291</v>
      </c>
      <c r="I39">
        <v>39406</v>
      </c>
      <c r="J39">
        <f>Table1345678910111213234567891011[[#This Row],[LOADED LITRES]]-Table1345678910111213234567891011[[#This Row],[Offloading Litres]]</f>
        <v>-115</v>
      </c>
      <c r="K39" t="s">
        <v>32</v>
      </c>
      <c r="L39">
        <v>76299157</v>
      </c>
      <c r="M39" t="s">
        <v>2566</v>
      </c>
      <c r="N39">
        <v>0.75919999999999999</v>
      </c>
      <c r="O39" s="8">
        <f>Table1345678910111213234567891011[[#This Row],[Offloading Litres]]*Table1345678910111213234567891011[[#This Row],[Rate]]</f>
        <v>29917.035199999998</v>
      </c>
      <c r="P39" s="9" t="s">
        <v>2461</v>
      </c>
      <c r="Q39" t="s">
        <v>2793</v>
      </c>
    </row>
    <row r="40" spans="1:20" x14ac:dyDescent="0.3">
      <c r="A40" s="7">
        <v>45940</v>
      </c>
      <c r="B40" s="7">
        <v>45942</v>
      </c>
      <c r="C40" t="s">
        <v>17</v>
      </c>
      <c r="D40" t="s">
        <v>19</v>
      </c>
      <c r="E40" t="s">
        <v>298</v>
      </c>
      <c r="F40">
        <v>430868126</v>
      </c>
      <c r="G40">
        <v>803281774</v>
      </c>
      <c r="H40">
        <v>38795</v>
      </c>
      <c r="I40">
        <v>38858</v>
      </c>
      <c r="J40">
        <f>Table1345678910111213234567891011[[#This Row],[LOADED LITRES]]-Table1345678910111213234567891011[[#This Row],[Offloading Litres]]</f>
        <v>-63</v>
      </c>
      <c r="K40" t="s">
        <v>32</v>
      </c>
      <c r="L40">
        <v>76299580</v>
      </c>
      <c r="M40" t="s">
        <v>2567</v>
      </c>
      <c r="N40">
        <v>0.75919999999999999</v>
      </c>
      <c r="O40" s="8">
        <f>Table1345678910111213234567891011[[#This Row],[Offloading Litres]]*Table1345678910111213234567891011[[#This Row],[Rate]]</f>
        <v>29500.993599999998</v>
      </c>
      <c r="P40" s="9" t="s">
        <v>2460</v>
      </c>
      <c r="Q40" t="s">
        <v>2795</v>
      </c>
    </row>
    <row r="41" spans="1:20" x14ac:dyDescent="0.3">
      <c r="A41" s="7">
        <v>45940</v>
      </c>
      <c r="B41" s="7">
        <v>45943</v>
      </c>
      <c r="C41" t="s">
        <v>103</v>
      </c>
      <c r="D41" t="s">
        <v>47</v>
      </c>
      <c r="E41" t="s">
        <v>16</v>
      </c>
      <c r="F41">
        <v>431319095</v>
      </c>
      <c r="G41">
        <v>803281921</v>
      </c>
      <c r="H41">
        <v>44027</v>
      </c>
      <c r="I41">
        <v>44243</v>
      </c>
      <c r="J41">
        <f>Table1345678910111213234567891011[[#This Row],[LOADED LITRES]]-Table1345678910111213234567891011[[#This Row],[Offloading Litres]]</f>
        <v>-216</v>
      </c>
      <c r="K41" t="s">
        <v>25</v>
      </c>
      <c r="L41">
        <v>76299747</v>
      </c>
      <c r="M41" t="s">
        <v>2568</v>
      </c>
      <c r="N41">
        <v>0.68799999999999994</v>
      </c>
      <c r="O41" s="8">
        <f>Table1345678910111213234567891011[[#This Row],[Offloading Litres]]*Table1345678910111213234567891011[[#This Row],[Rate]]</f>
        <v>30439.183999999997</v>
      </c>
      <c r="P41" s="9" t="s">
        <v>2467</v>
      </c>
      <c r="Q41" t="s">
        <v>2792</v>
      </c>
    </row>
    <row r="42" spans="1:20" x14ac:dyDescent="0.3">
      <c r="A42" s="7">
        <v>45940</v>
      </c>
      <c r="B42" s="7">
        <v>45942</v>
      </c>
      <c r="C42" t="s">
        <v>22</v>
      </c>
      <c r="D42" t="s">
        <v>624</v>
      </c>
      <c r="E42" t="s">
        <v>40</v>
      </c>
      <c r="F42">
        <v>431276845</v>
      </c>
      <c r="G42">
        <v>803284355</v>
      </c>
      <c r="H42">
        <v>44122</v>
      </c>
      <c r="I42">
        <v>44459</v>
      </c>
      <c r="J42">
        <f>Table1345678910111213234567891011[[#This Row],[LOADED LITRES]]-Table1345678910111213234567891011[[#This Row],[Offloading Litres]]</f>
        <v>-337</v>
      </c>
      <c r="K42" t="s">
        <v>25</v>
      </c>
      <c r="L42">
        <v>76303231</v>
      </c>
      <c r="M42" t="s">
        <v>2569</v>
      </c>
      <c r="N42">
        <v>0.74390000000000001</v>
      </c>
      <c r="O42" s="8">
        <f>Table1345678910111213234567891011[[#This Row],[Offloading Litres]]*Table1345678910111213234567891011[[#This Row],[Rate]]</f>
        <v>33073.0501</v>
      </c>
      <c r="P42" s="9" t="s">
        <v>2463</v>
      </c>
      <c r="Q42" t="s">
        <v>2790</v>
      </c>
    </row>
    <row r="43" spans="1:20" x14ac:dyDescent="0.3">
      <c r="A43" s="7">
        <v>45940</v>
      </c>
      <c r="B43" s="7">
        <v>45942</v>
      </c>
      <c r="C43" t="s">
        <v>30</v>
      </c>
      <c r="D43" t="s">
        <v>349</v>
      </c>
      <c r="E43" t="s">
        <v>40</v>
      </c>
      <c r="F43">
        <v>431087837</v>
      </c>
      <c r="G43">
        <v>803284290</v>
      </c>
      <c r="H43">
        <v>44038</v>
      </c>
      <c r="I43">
        <v>44357</v>
      </c>
      <c r="J43">
        <f>Table1345678910111213234567891011[[#This Row],[LOADED LITRES]]-Table1345678910111213234567891011[[#This Row],[Offloading Litres]]</f>
        <v>-319</v>
      </c>
      <c r="K43" t="s">
        <v>25</v>
      </c>
      <c r="L43">
        <v>76303142</v>
      </c>
      <c r="M43" t="s">
        <v>2570</v>
      </c>
      <c r="N43">
        <v>0.74390000000000001</v>
      </c>
      <c r="O43" s="8">
        <f>Table1345678910111213234567891011[[#This Row],[Offloading Litres]]*Table1345678910111213234567891011[[#This Row],[Rate]]</f>
        <v>32997.172299999998</v>
      </c>
      <c r="P43" s="9" t="s">
        <v>2464</v>
      </c>
      <c r="Q43" t="s">
        <v>2794</v>
      </c>
    </row>
    <row r="44" spans="1:20" x14ac:dyDescent="0.3">
      <c r="A44" s="7">
        <v>45940</v>
      </c>
      <c r="B44" s="7">
        <v>45942</v>
      </c>
      <c r="C44" t="s">
        <v>34</v>
      </c>
      <c r="D44" t="s">
        <v>15</v>
      </c>
      <c r="E44" t="s">
        <v>298</v>
      </c>
      <c r="F44">
        <v>430868605</v>
      </c>
      <c r="G44">
        <v>803284374</v>
      </c>
      <c r="H44">
        <v>38836</v>
      </c>
      <c r="I44">
        <v>38974</v>
      </c>
      <c r="J44">
        <f>Table1345678910111213234567891011[[#This Row],[LOADED LITRES]]-Table1345678910111213234567891011[[#This Row],[Offloading Litres]]</f>
        <v>-138</v>
      </c>
      <c r="K44" t="s">
        <v>32</v>
      </c>
      <c r="L44">
        <v>76303261</v>
      </c>
      <c r="M44" t="s">
        <v>2571</v>
      </c>
      <c r="N44">
        <v>0.75919999999999999</v>
      </c>
      <c r="O44" s="8">
        <f>Table1345678910111213234567891011[[#This Row],[Offloading Litres]]*Table1345678910111213234567891011[[#This Row],[Rate]]</f>
        <v>29589.060799999999</v>
      </c>
      <c r="P44" s="9" t="s">
        <v>2462</v>
      </c>
      <c r="Q44" t="s">
        <v>2791</v>
      </c>
    </row>
    <row r="45" spans="1:20" x14ac:dyDescent="0.3">
      <c r="A45" s="7">
        <v>45941</v>
      </c>
      <c r="B45" s="7">
        <v>45942</v>
      </c>
      <c r="C45" t="s">
        <v>2421</v>
      </c>
      <c r="D45" t="s">
        <v>24</v>
      </c>
      <c r="E45" t="s">
        <v>40</v>
      </c>
      <c r="F45">
        <v>431276849</v>
      </c>
      <c r="G45">
        <v>803285525</v>
      </c>
      <c r="H45">
        <v>44132</v>
      </c>
      <c r="I45">
        <v>44448</v>
      </c>
      <c r="J45">
        <f>Table1345678910111213234567891011[[#This Row],[LOADED LITRES]]-Table1345678910111213234567891011[[#This Row],[Offloading Litres]]</f>
        <v>-316</v>
      </c>
      <c r="K45" t="s">
        <v>25</v>
      </c>
      <c r="L45">
        <v>76303412</v>
      </c>
      <c r="M45" t="s">
        <v>2572</v>
      </c>
      <c r="N45">
        <v>0.74390000000000001</v>
      </c>
      <c r="O45" s="8">
        <f>Table1345678910111213234567891011[[#This Row],[Offloading Litres]]*Table1345678910111213234567891011[[#This Row],[Rate]]</f>
        <v>33064.867200000001</v>
      </c>
      <c r="P45" s="9" t="s">
        <v>2465</v>
      </c>
      <c r="Q45" t="s">
        <v>2788</v>
      </c>
    </row>
    <row r="46" spans="1:20" x14ac:dyDescent="0.3">
      <c r="A46" s="7">
        <v>45941</v>
      </c>
      <c r="B46" s="7">
        <v>45943</v>
      </c>
      <c r="C46" t="s">
        <v>1794</v>
      </c>
      <c r="D46" t="s">
        <v>35</v>
      </c>
      <c r="E46" t="s">
        <v>40</v>
      </c>
      <c r="F46">
        <v>431087835</v>
      </c>
      <c r="G46">
        <v>803286563</v>
      </c>
      <c r="H46">
        <v>44525</v>
      </c>
      <c r="I46">
        <v>44580</v>
      </c>
      <c r="J46">
        <f>Table1345678910111213234567891011[[#This Row],[LOADED LITRES]]-Table1345678910111213234567891011[[#This Row],[Offloading Litres]]</f>
        <v>-55</v>
      </c>
      <c r="K46" t="s">
        <v>25</v>
      </c>
      <c r="L46">
        <v>76304685</v>
      </c>
      <c r="M46" t="s">
        <v>2573</v>
      </c>
      <c r="N46">
        <v>0.74390000000000001</v>
      </c>
      <c r="O46" s="8">
        <f>Table1345678910111213234567891011[[#This Row],[Offloading Litres]]*Table1345678910111213234567891011[[#This Row],[Rate]]</f>
        <v>33163.061999999998</v>
      </c>
      <c r="P46" s="9" t="s">
        <v>2466</v>
      </c>
      <c r="Q46" t="s">
        <v>2789</v>
      </c>
    </row>
    <row r="47" spans="1:20" x14ac:dyDescent="0.3">
      <c r="A47" s="7">
        <v>45942</v>
      </c>
      <c r="B47" s="7">
        <v>45943</v>
      </c>
      <c r="C47" t="s">
        <v>28</v>
      </c>
      <c r="D47" t="s">
        <v>2425</v>
      </c>
      <c r="E47" t="s">
        <v>617</v>
      </c>
      <c r="F47">
        <v>431380044</v>
      </c>
      <c r="G47">
        <v>803288184</v>
      </c>
      <c r="H47">
        <v>39578</v>
      </c>
      <c r="I47">
        <v>39714</v>
      </c>
      <c r="J47">
        <f>Table1345678910111213234567891011[[#This Row],[LOADED LITRES]]-Table1345678910111213234567891011[[#This Row],[Offloading Litres]]</f>
        <v>-136</v>
      </c>
      <c r="K47" t="s">
        <v>32</v>
      </c>
      <c r="L47">
        <v>76306448</v>
      </c>
      <c r="M47" t="s">
        <v>2574</v>
      </c>
      <c r="N47">
        <v>0.68740000000000001</v>
      </c>
      <c r="O47" s="8">
        <f>Table1345678910111213234567891011[[#This Row],[Offloading Litres]]*Table1345678910111213234567891011[[#This Row],[Rate]]</f>
        <v>27299.403600000001</v>
      </c>
      <c r="P47" s="9" t="s">
        <v>2471</v>
      </c>
      <c r="Q47" t="s">
        <v>2785</v>
      </c>
    </row>
    <row r="48" spans="1:20" s="15" customFormat="1" x14ac:dyDescent="0.3">
      <c r="A48" s="7">
        <v>45942</v>
      </c>
      <c r="B48" s="7">
        <v>45943</v>
      </c>
      <c r="C48" t="s">
        <v>21</v>
      </c>
      <c r="D48" t="s">
        <v>27</v>
      </c>
      <c r="E48" t="s">
        <v>40</v>
      </c>
      <c r="F48">
        <v>431276839</v>
      </c>
      <c r="G48">
        <v>803288509</v>
      </c>
      <c r="H48">
        <v>44634</v>
      </c>
      <c r="I48">
        <v>44934</v>
      </c>
      <c r="J48">
        <f>Table1345678910111213234567891011[[#This Row],[LOADED LITRES]]-Table1345678910111213234567891011[[#This Row],[Offloading Litres]]</f>
        <v>-300</v>
      </c>
      <c r="K48" t="s">
        <v>25</v>
      </c>
      <c r="L48">
        <v>76306802</v>
      </c>
      <c r="M48" t="s">
        <v>2575</v>
      </c>
      <c r="N48">
        <v>0.74390000000000001</v>
      </c>
      <c r="O48" s="8">
        <f>Table1345678910111213234567891011[[#This Row],[Offloading Litres]]*Table1345678910111213234567891011[[#This Row],[Rate]]</f>
        <v>33426.402600000001</v>
      </c>
      <c r="P48" s="9" t="s">
        <v>2469</v>
      </c>
      <c r="Q48" t="s">
        <v>2787</v>
      </c>
      <c r="R48"/>
      <c r="S48"/>
      <c r="T48"/>
    </row>
    <row r="49" spans="1:17" x14ac:dyDescent="0.3">
      <c r="A49" s="7">
        <v>45943</v>
      </c>
      <c r="B49" s="7">
        <v>45945</v>
      </c>
      <c r="C49" t="s">
        <v>17</v>
      </c>
      <c r="D49" t="s">
        <v>19</v>
      </c>
      <c r="E49" t="s">
        <v>40</v>
      </c>
      <c r="F49">
        <v>431276846</v>
      </c>
      <c r="G49">
        <v>803289535</v>
      </c>
      <c r="H49">
        <v>44000</v>
      </c>
      <c r="I49">
        <v>44389</v>
      </c>
      <c r="J49">
        <f>Table1345678910111213234567891011[[#This Row],[LOADED LITRES]]-Table1345678910111213234567891011[[#This Row],[Offloading Litres]]</f>
        <v>-389</v>
      </c>
      <c r="K49" t="s">
        <v>25</v>
      </c>
      <c r="L49">
        <v>76307839</v>
      </c>
      <c r="M49" t="s">
        <v>2576</v>
      </c>
      <c r="N49">
        <v>0.74390000000000001</v>
      </c>
      <c r="O49" s="8">
        <f>Table1345678910111213234567891011[[#This Row],[Offloading Litres]]*Table1345678910111213234567891011[[#This Row],[Rate]]</f>
        <v>33020.977100000004</v>
      </c>
      <c r="P49" s="9" t="s">
        <v>2475</v>
      </c>
      <c r="Q49" t="s">
        <v>2837</v>
      </c>
    </row>
    <row r="50" spans="1:17" x14ac:dyDescent="0.3">
      <c r="A50" s="7">
        <v>45943</v>
      </c>
      <c r="B50" s="7">
        <v>45944</v>
      </c>
      <c r="C50" t="s">
        <v>34</v>
      </c>
      <c r="D50" t="s">
        <v>15</v>
      </c>
      <c r="E50" t="s">
        <v>617</v>
      </c>
      <c r="F50">
        <v>431380052</v>
      </c>
      <c r="G50">
        <v>803289510</v>
      </c>
      <c r="H50">
        <v>38789</v>
      </c>
      <c r="I50">
        <v>38957</v>
      </c>
      <c r="J50">
        <f>Table1345678910111213234567891011[[#This Row],[LOADED LITRES]]-Table1345678910111213234567891011[[#This Row],[Offloading Litres]]</f>
        <v>-168</v>
      </c>
      <c r="K50" t="s">
        <v>32</v>
      </c>
      <c r="L50">
        <v>76307776</v>
      </c>
      <c r="M50" t="s">
        <v>2577</v>
      </c>
      <c r="N50">
        <v>0.68740000000000001</v>
      </c>
      <c r="O50" s="8">
        <f>Table1345678910111213234567891011[[#This Row],[Offloading Litres]]*Table1345678910111213234567891011[[#This Row],[Rate]]</f>
        <v>26779.041799999999</v>
      </c>
      <c r="P50" s="9" t="s">
        <v>2470</v>
      </c>
      <c r="Q50" t="s">
        <v>2783</v>
      </c>
    </row>
    <row r="51" spans="1:17" x14ac:dyDescent="0.3">
      <c r="A51" s="7">
        <v>45943</v>
      </c>
      <c r="B51" s="7">
        <v>45944</v>
      </c>
      <c r="C51" t="s">
        <v>22</v>
      </c>
      <c r="D51" t="s">
        <v>624</v>
      </c>
      <c r="E51" t="s">
        <v>40</v>
      </c>
      <c r="F51">
        <v>431276838</v>
      </c>
      <c r="G51">
        <v>803289840</v>
      </c>
      <c r="H51">
        <v>44077</v>
      </c>
      <c r="I51">
        <v>44506</v>
      </c>
      <c r="J51">
        <f>Table1345678910111213234567891011[[#This Row],[LOADED LITRES]]-Table1345678910111213234567891011[[#This Row],[Offloading Litres]]</f>
        <v>-429</v>
      </c>
      <c r="K51" t="s">
        <v>25</v>
      </c>
      <c r="L51">
        <v>76308086</v>
      </c>
      <c r="M51" t="s">
        <v>2578</v>
      </c>
      <c r="N51">
        <v>0.74390000000000001</v>
      </c>
      <c r="O51" s="8">
        <f>Table1345678910111213234567891011[[#This Row],[Offloading Litres]]*Table1345678910111213234567891011[[#This Row],[Rate]]</f>
        <v>33108.013400000003</v>
      </c>
      <c r="P51" s="9" t="s">
        <v>2472</v>
      </c>
      <c r="Q51" t="s">
        <v>2782</v>
      </c>
    </row>
    <row r="52" spans="1:17" x14ac:dyDescent="0.3">
      <c r="A52" s="7">
        <v>45943</v>
      </c>
      <c r="B52" s="7">
        <v>45945</v>
      </c>
      <c r="C52" t="s">
        <v>30</v>
      </c>
      <c r="D52" t="s">
        <v>349</v>
      </c>
      <c r="E52" t="s">
        <v>40</v>
      </c>
      <c r="F52">
        <v>431276775</v>
      </c>
      <c r="G52">
        <v>803293569</v>
      </c>
      <c r="H52">
        <v>43980</v>
      </c>
      <c r="I52">
        <v>44325</v>
      </c>
      <c r="J52">
        <f>Table1345678910111213234567891011[[#This Row],[LOADED LITRES]]-Table1345678910111213234567891011[[#This Row],[Offloading Litres]]</f>
        <v>-345</v>
      </c>
      <c r="K52" t="s">
        <v>25</v>
      </c>
      <c r="L52">
        <v>76311768</v>
      </c>
      <c r="M52" t="s">
        <v>2579</v>
      </c>
      <c r="N52">
        <v>0.74390000000000001</v>
      </c>
      <c r="O52" s="8">
        <f>Table1345678910111213234567891011[[#This Row],[Offloading Litres]]*Table1345678910111213234567891011[[#This Row],[Rate]]</f>
        <v>32973.3675</v>
      </c>
      <c r="P52" s="9" t="s">
        <v>2474</v>
      </c>
      <c r="Q52" t="s">
        <v>2784</v>
      </c>
    </row>
    <row r="53" spans="1:17" x14ac:dyDescent="0.3">
      <c r="A53" s="7">
        <v>45944</v>
      </c>
      <c r="B53" s="7">
        <v>45945</v>
      </c>
      <c r="C53" t="s">
        <v>23</v>
      </c>
      <c r="D53" t="s">
        <v>287</v>
      </c>
      <c r="E53" t="s">
        <v>40</v>
      </c>
      <c r="F53">
        <v>431276789</v>
      </c>
      <c r="G53">
        <v>803293776</v>
      </c>
      <c r="H53">
        <v>44023</v>
      </c>
      <c r="I53">
        <v>44287</v>
      </c>
      <c r="J53">
        <f>Table1345678910111213234567891011[[#This Row],[LOADED LITRES]]-Table1345678910111213234567891011[[#This Row],[Offloading Litres]]</f>
        <v>-264</v>
      </c>
      <c r="K53" t="s">
        <v>25</v>
      </c>
      <c r="L53">
        <v>76311861</v>
      </c>
      <c r="M53" t="s">
        <v>2580</v>
      </c>
      <c r="N53">
        <v>0.74390000000000001</v>
      </c>
      <c r="O53" s="8">
        <f>Table1345678910111213234567891011[[#This Row],[Offloading Litres]]*Table1345678910111213234567891011[[#This Row],[Rate]]</f>
        <v>32945.099300000002</v>
      </c>
      <c r="P53" s="9" t="s">
        <v>2473</v>
      </c>
      <c r="Q53" t="s">
        <v>2775</v>
      </c>
    </row>
    <row r="54" spans="1:17" x14ac:dyDescent="0.3">
      <c r="A54" s="7">
        <v>45944</v>
      </c>
      <c r="B54" s="7">
        <v>45945</v>
      </c>
      <c r="C54" t="s">
        <v>1794</v>
      </c>
      <c r="D54" t="s">
        <v>35</v>
      </c>
      <c r="E54" t="s">
        <v>16</v>
      </c>
      <c r="F54">
        <v>431331039</v>
      </c>
      <c r="G54">
        <v>803294558</v>
      </c>
      <c r="H54">
        <v>39771</v>
      </c>
      <c r="I54">
        <v>39858</v>
      </c>
      <c r="J54">
        <f>Table1345678910111213234567891011[[#This Row],[LOADED LITRES]]-Table1345678910111213234567891011[[#This Row],[Offloading Litres]]</f>
        <v>-87</v>
      </c>
      <c r="K54" t="s">
        <v>32</v>
      </c>
      <c r="L54">
        <v>76312782</v>
      </c>
      <c r="M54" t="s">
        <v>2581</v>
      </c>
      <c r="N54">
        <v>0.68799999999999994</v>
      </c>
      <c r="O54" s="8">
        <f>Table1345678910111213234567891011[[#This Row],[Offloading Litres]]*Table1345678910111213234567891011[[#This Row],[Rate]]</f>
        <v>27422.303999999996</v>
      </c>
      <c r="P54" s="9" t="s">
        <v>2476</v>
      </c>
      <c r="Q54" t="s">
        <v>2773</v>
      </c>
    </row>
    <row r="55" spans="1:17" x14ac:dyDescent="0.3">
      <c r="A55" s="7">
        <v>45944</v>
      </c>
      <c r="B55" s="7">
        <v>45946</v>
      </c>
      <c r="C55" t="s">
        <v>103</v>
      </c>
      <c r="D55" t="s">
        <v>47</v>
      </c>
      <c r="E55" t="s">
        <v>40</v>
      </c>
      <c r="F55">
        <v>431276776</v>
      </c>
      <c r="G55">
        <v>803298543</v>
      </c>
      <c r="H55">
        <v>44065</v>
      </c>
      <c r="I55">
        <v>44370</v>
      </c>
      <c r="J55">
        <f>Table1345678910111213234567891011[[#This Row],[LOADED LITRES]]-Table1345678910111213234567891011[[#This Row],[Offloading Litres]]</f>
        <v>-305</v>
      </c>
      <c r="K55" t="s">
        <v>25</v>
      </c>
      <c r="L55">
        <v>76316576</v>
      </c>
      <c r="M55" t="s">
        <v>2582</v>
      </c>
      <c r="N55">
        <v>0.74390000000000001</v>
      </c>
      <c r="O55" s="8">
        <f>Table1345678910111213234567891011[[#This Row],[Offloading Litres]]*Table1345678910111213234567891011[[#This Row],[Rate]]</f>
        <v>33006.843000000001</v>
      </c>
      <c r="P55" s="9" t="s">
        <v>2481</v>
      </c>
      <c r="Q55" t="s">
        <v>2779</v>
      </c>
    </row>
    <row r="56" spans="1:17" x14ac:dyDescent="0.3">
      <c r="A56" s="7">
        <v>45944</v>
      </c>
      <c r="B56" s="7">
        <v>45946</v>
      </c>
      <c r="C56" t="s">
        <v>29</v>
      </c>
      <c r="D56" t="s">
        <v>24</v>
      </c>
      <c r="E56" t="s">
        <v>16</v>
      </c>
      <c r="F56">
        <v>431331582</v>
      </c>
      <c r="G56">
        <v>803298749</v>
      </c>
      <c r="H56">
        <v>39582</v>
      </c>
      <c r="I56">
        <v>39705</v>
      </c>
      <c r="J56">
        <f>Table1345678910111213234567891011[[#This Row],[LOADED LITRES]]-Table1345678910111213234567891011[[#This Row],[Offloading Litres]]</f>
        <v>-123</v>
      </c>
      <c r="K56" t="s">
        <v>32</v>
      </c>
      <c r="L56">
        <v>76316759</v>
      </c>
      <c r="M56" t="s">
        <v>2583</v>
      </c>
      <c r="N56">
        <v>0.68799999999999994</v>
      </c>
      <c r="O56" s="8">
        <f>Table1345678910111213234567891011[[#This Row],[Offloading Litres]]*Table1345678910111213234567891011[[#This Row],[Rate]]</f>
        <v>27317.039999999997</v>
      </c>
      <c r="P56" s="9" t="s">
        <v>2479</v>
      </c>
      <c r="Q56" t="s">
        <v>2777</v>
      </c>
    </row>
    <row r="57" spans="1:17" x14ac:dyDescent="0.3">
      <c r="A57" s="7">
        <v>45944</v>
      </c>
      <c r="B57" s="7">
        <v>45945</v>
      </c>
      <c r="C57" t="s">
        <v>28</v>
      </c>
      <c r="D57" t="s">
        <v>2425</v>
      </c>
      <c r="E57" t="s">
        <v>617</v>
      </c>
      <c r="F57">
        <v>431423061</v>
      </c>
      <c r="G57">
        <v>803298553</v>
      </c>
      <c r="H57">
        <v>39586</v>
      </c>
      <c r="I57">
        <v>39682</v>
      </c>
      <c r="J57">
        <f>Table1345678910111213234567891011[[#This Row],[LOADED LITRES]]-Table1345678910111213234567891011[[#This Row],[Offloading Litres]]</f>
        <v>-96</v>
      </c>
      <c r="K57" t="s">
        <v>32</v>
      </c>
      <c r="L57">
        <v>76316591</v>
      </c>
      <c r="M57" t="s">
        <v>2584</v>
      </c>
      <c r="N57">
        <v>0.68740000000000001</v>
      </c>
      <c r="O57" s="8">
        <f>Table1345678910111213234567891011[[#This Row],[Offloading Litres]]*Table1345678910111213234567891011[[#This Row],[Rate]]</f>
        <v>27277.406800000001</v>
      </c>
      <c r="P57" s="9" t="s">
        <v>2478</v>
      </c>
      <c r="Q57" t="s">
        <v>2776</v>
      </c>
    </row>
    <row r="58" spans="1:17" x14ac:dyDescent="0.3">
      <c r="A58" s="7">
        <v>45944</v>
      </c>
      <c r="B58" s="7">
        <v>45946</v>
      </c>
      <c r="C58" t="s">
        <v>21</v>
      </c>
      <c r="D58" t="s">
        <v>27</v>
      </c>
      <c r="E58" t="s">
        <v>16</v>
      </c>
      <c r="F58">
        <v>431331116</v>
      </c>
      <c r="G58">
        <v>803298704</v>
      </c>
      <c r="H58">
        <v>39281</v>
      </c>
      <c r="I58">
        <v>39394</v>
      </c>
      <c r="J58">
        <f>Table1345678910111213234567891011[[#This Row],[LOADED LITRES]]-Table1345678910111213234567891011[[#This Row],[Offloading Litres]]</f>
        <v>-113</v>
      </c>
      <c r="K58" t="s">
        <v>32</v>
      </c>
      <c r="L58">
        <v>76316716</v>
      </c>
      <c r="M58" t="s">
        <v>2585</v>
      </c>
      <c r="N58">
        <v>0.68799999999999994</v>
      </c>
      <c r="O58" s="8">
        <f>Table1345678910111213234567891011[[#This Row],[Offloading Litres]]*Table1345678910111213234567891011[[#This Row],[Rate]]</f>
        <v>27103.071999999996</v>
      </c>
      <c r="P58" s="9" t="s">
        <v>2480</v>
      </c>
      <c r="Q58" t="s">
        <v>2781</v>
      </c>
    </row>
    <row r="59" spans="1:17" x14ac:dyDescent="0.3">
      <c r="A59" s="7">
        <v>45944</v>
      </c>
      <c r="B59" s="7">
        <v>45945</v>
      </c>
      <c r="C59" t="s">
        <v>34</v>
      </c>
      <c r="D59" t="s">
        <v>15</v>
      </c>
      <c r="E59" t="s">
        <v>617</v>
      </c>
      <c r="F59">
        <v>431423053</v>
      </c>
      <c r="G59">
        <v>803299420</v>
      </c>
      <c r="H59">
        <v>38792</v>
      </c>
      <c r="I59">
        <v>39005</v>
      </c>
      <c r="J59">
        <f>Table1345678910111213234567891011[[#This Row],[LOADED LITRES]]-Table1345678910111213234567891011[[#This Row],[Offloading Litres]]</f>
        <v>-213</v>
      </c>
      <c r="K59" t="s">
        <v>32</v>
      </c>
      <c r="L59">
        <v>76316882</v>
      </c>
      <c r="M59" t="s">
        <v>2586</v>
      </c>
      <c r="N59">
        <v>0.68740000000000001</v>
      </c>
      <c r="O59" s="8">
        <f>Table1345678910111213234567891011[[#This Row],[Offloading Litres]]*Table1345678910111213234567891011[[#This Row],[Rate]]</f>
        <v>26812.037</v>
      </c>
      <c r="P59" s="9" t="s">
        <v>2477</v>
      </c>
      <c r="Q59" t="s">
        <v>2836</v>
      </c>
    </row>
    <row r="60" spans="1:17" x14ac:dyDescent="0.3">
      <c r="A60" s="7">
        <v>45945</v>
      </c>
      <c r="B60" s="7">
        <v>45946</v>
      </c>
      <c r="C60" t="s">
        <v>22</v>
      </c>
      <c r="D60" t="s">
        <v>624</v>
      </c>
      <c r="E60" t="s">
        <v>40</v>
      </c>
      <c r="F60">
        <v>431276835</v>
      </c>
      <c r="G60">
        <v>803303699</v>
      </c>
      <c r="H60">
        <v>44081</v>
      </c>
      <c r="I60">
        <v>44282</v>
      </c>
      <c r="J60">
        <f>Table1345678910111213234567891011[[#This Row],[LOADED LITRES]]-Table1345678910111213234567891011[[#This Row],[Offloading Litres]]</f>
        <v>-201</v>
      </c>
      <c r="K60" t="s">
        <v>25</v>
      </c>
      <c r="L60">
        <v>76321202</v>
      </c>
      <c r="M60" t="s">
        <v>2587</v>
      </c>
      <c r="N60">
        <v>0.74299999999999999</v>
      </c>
      <c r="O60" s="8">
        <f>Table1345678910111213234567891011[[#This Row],[Offloading Litres]]*Table1345678910111213234567891011[[#This Row],[Rate]]</f>
        <v>32901.525999999998</v>
      </c>
      <c r="P60" s="9" t="s">
        <v>2482</v>
      </c>
      <c r="Q60" t="s">
        <v>2834</v>
      </c>
    </row>
    <row r="61" spans="1:17" x14ac:dyDescent="0.3">
      <c r="A61" s="7">
        <v>45946</v>
      </c>
      <c r="B61" s="7">
        <v>45947</v>
      </c>
      <c r="C61" t="s">
        <v>23</v>
      </c>
      <c r="D61" t="s">
        <v>287</v>
      </c>
      <c r="E61" t="s">
        <v>40</v>
      </c>
      <c r="F61">
        <v>431276780</v>
      </c>
      <c r="G61">
        <v>803305301</v>
      </c>
      <c r="H61">
        <v>44010</v>
      </c>
      <c r="I61">
        <v>43924</v>
      </c>
      <c r="J61">
        <f>Table1345678910111213234567891011[[#This Row],[LOADED LITRES]]-Table1345678910111213234567891011[[#This Row],[Offloading Litres]]</f>
        <v>86</v>
      </c>
      <c r="K61" t="s">
        <v>25</v>
      </c>
      <c r="L61">
        <v>76322610</v>
      </c>
      <c r="M61" t="s">
        <v>2588</v>
      </c>
      <c r="N61">
        <v>0.74299999999999999</v>
      </c>
      <c r="O61" s="8">
        <f>Table1345678910111213234567891011[[#This Row],[Offloading Litres]]*Table1345678910111213234567891011[[#This Row],[Rate]]</f>
        <v>32635.531999999999</v>
      </c>
      <c r="P61" s="9" t="s">
        <v>2484</v>
      </c>
      <c r="Q61" t="s">
        <v>2770</v>
      </c>
    </row>
    <row r="62" spans="1:17" x14ac:dyDescent="0.3">
      <c r="A62" s="7">
        <v>45946</v>
      </c>
      <c r="B62" s="7">
        <v>45947</v>
      </c>
      <c r="C62" t="s">
        <v>30</v>
      </c>
      <c r="D62" t="s">
        <v>349</v>
      </c>
      <c r="E62" t="s">
        <v>617</v>
      </c>
      <c r="F62">
        <v>431423085</v>
      </c>
      <c r="G62">
        <v>803305557</v>
      </c>
      <c r="H62">
        <v>38790</v>
      </c>
      <c r="I62">
        <v>38740</v>
      </c>
      <c r="J62">
        <f>Table1345678910111213234567891011[[#This Row],[LOADED LITRES]]-Table1345678910111213234567891011[[#This Row],[Offloading Litres]]</f>
        <v>50</v>
      </c>
      <c r="K62" t="s">
        <v>32</v>
      </c>
      <c r="L62">
        <v>76322781</v>
      </c>
      <c r="M62" t="s">
        <v>2589</v>
      </c>
      <c r="N62">
        <v>0.68659999999999999</v>
      </c>
      <c r="O62" s="8">
        <f>Table1345678910111213234567891011[[#This Row],[Offloading Litres]]*Table1345678910111213234567891011[[#This Row],[Rate]]</f>
        <v>26598.883999999998</v>
      </c>
      <c r="P62" s="9" t="s">
        <v>2483</v>
      </c>
      <c r="Q62" t="s">
        <v>2772</v>
      </c>
    </row>
    <row r="63" spans="1:17" x14ac:dyDescent="0.3">
      <c r="A63" s="7">
        <v>45946</v>
      </c>
      <c r="B63" s="7">
        <v>45947</v>
      </c>
      <c r="C63" t="s">
        <v>1794</v>
      </c>
      <c r="D63" t="s">
        <v>35</v>
      </c>
      <c r="E63" t="s">
        <v>40</v>
      </c>
      <c r="F63">
        <v>431276783</v>
      </c>
      <c r="G63">
        <v>803308649</v>
      </c>
      <c r="H63">
        <v>44587</v>
      </c>
      <c r="I63">
        <v>44486</v>
      </c>
      <c r="J63">
        <f>Table1345678910111213234567891011[[#This Row],[LOADED LITRES]]-Table1345678910111213234567891011[[#This Row],[Offloading Litres]]</f>
        <v>101</v>
      </c>
      <c r="K63" t="s">
        <v>25</v>
      </c>
      <c r="L63">
        <v>76325975</v>
      </c>
      <c r="M63" t="s">
        <v>2590</v>
      </c>
      <c r="N63">
        <v>0.74299999999999999</v>
      </c>
      <c r="O63" s="8">
        <f>Table1345678910111213234567891011[[#This Row],[Offloading Litres]]*Table1345678910111213234567891011[[#This Row],[Rate]]</f>
        <v>33053.097999999998</v>
      </c>
      <c r="P63" s="9" t="s">
        <v>2485</v>
      </c>
      <c r="Q63" t="s">
        <v>2771</v>
      </c>
    </row>
    <row r="64" spans="1:17" x14ac:dyDescent="0.3">
      <c r="A64" s="7">
        <v>45947</v>
      </c>
      <c r="B64" s="7">
        <v>45948</v>
      </c>
      <c r="C64" t="s">
        <v>28</v>
      </c>
      <c r="D64" t="s">
        <v>2425</v>
      </c>
      <c r="E64" t="s">
        <v>40</v>
      </c>
      <c r="F64">
        <v>431276779</v>
      </c>
      <c r="G64">
        <v>803309536</v>
      </c>
      <c r="H64">
        <v>44391</v>
      </c>
      <c r="I64">
        <v>44280</v>
      </c>
      <c r="J64">
        <f>Table1345678910111213234567891011[[#This Row],[LOADED LITRES]]-Table1345678910111213234567891011[[#This Row],[Offloading Litres]]</f>
        <v>111</v>
      </c>
      <c r="K64" t="s">
        <v>25</v>
      </c>
      <c r="L64">
        <v>76326700</v>
      </c>
      <c r="M64" t="s">
        <v>2591</v>
      </c>
      <c r="N64">
        <v>0.74299999999999999</v>
      </c>
      <c r="O64" s="8">
        <f>Table1345678910111213234567891011[[#This Row],[Offloading Litres]]*Table1345678910111213234567891011[[#This Row],[Rate]]</f>
        <v>32900.04</v>
      </c>
      <c r="P64" s="9" t="s">
        <v>2488</v>
      </c>
      <c r="Q64" t="s">
        <v>2803</v>
      </c>
    </row>
    <row r="65" spans="1:17" x14ac:dyDescent="0.3">
      <c r="A65" s="7">
        <v>45947</v>
      </c>
      <c r="B65" s="7">
        <v>45948</v>
      </c>
      <c r="C65" t="s">
        <v>17</v>
      </c>
      <c r="D65" t="s">
        <v>19</v>
      </c>
      <c r="E65" t="s">
        <v>16</v>
      </c>
      <c r="F65">
        <v>431521985</v>
      </c>
      <c r="G65">
        <v>803309610</v>
      </c>
      <c r="H65">
        <v>44113</v>
      </c>
      <c r="I65">
        <v>44359</v>
      </c>
      <c r="J65">
        <f>Table1345678910111213234567891011[[#This Row],[LOADED LITRES]]-Table1345678910111213234567891011[[#This Row],[Offloading Litres]]</f>
        <v>-246</v>
      </c>
      <c r="K65" t="s">
        <v>25</v>
      </c>
      <c r="L65">
        <v>76326782</v>
      </c>
      <c r="M65" t="s">
        <v>2592</v>
      </c>
      <c r="N65">
        <v>0.68720000000000003</v>
      </c>
      <c r="O65" s="8">
        <f>Table1345678910111213234567891011[[#This Row],[Offloading Litres]]*Table1345678910111213234567891011[[#This Row],[Rate]]</f>
        <v>30483.504800000002</v>
      </c>
      <c r="P65" s="9" t="s">
        <v>2486</v>
      </c>
      <c r="Q65" t="s">
        <v>2833</v>
      </c>
    </row>
    <row r="66" spans="1:17" x14ac:dyDescent="0.3">
      <c r="A66" s="7">
        <v>45947</v>
      </c>
      <c r="B66" s="7">
        <v>45947</v>
      </c>
      <c r="C66" t="s">
        <v>34</v>
      </c>
      <c r="D66" t="s">
        <v>15</v>
      </c>
      <c r="E66" t="s">
        <v>16</v>
      </c>
      <c r="F66">
        <v>431331557</v>
      </c>
      <c r="G66">
        <v>803309716</v>
      </c>
      <c r="H66">
        <v>38942</v>
      </c>
      <c r="I66">
        <v>39093</v>
      </c>
      <c r="J66">
        <f>Table1345678910111213234567891011[[#This Row],[LOADED LITRES]]-Table1345678910111213234567891011[[#This Row],[Offloading Litres]]</f>
        <v>-151</v>
      </c>
      <c r="K66" t="s">
        <v>32</v>
      </c>
      <c r="L66">
        <v>76326911</v>
      </c>
      <c r="M66" t="s">
        <v>2593</v>
      </c>
      <c r="N66">
        <v>0.68720000000000003</v>
      </c>
      <c r="O66" s="8">
        <f>Table1345678910111213234567891011[[#This Row],[Offloading Litres]]*Table1345678910111213234567891011[[#This Row],[Rate]]</f>
        <v>26864.709600000002</v>
      </c>
      <c r="P66" s="9" t="s">
        <v>2487</v>
      </c>
      <c r="Q66" t="s">
        <v>2800</v>
      </c>
    </row>
    <row r="67" spans="1:17" x14ac:dyDescent="0.3">
      <c r="A67" s="7">
        <v>45947</v>
      </c>
      <c r="B67" s="7">
        <v>45948</v>
      </c>
      <c r="C67" t="s">
        <v>22</v>
      </c>
      <c r="D67" t="s">
        <v>624</v>
      </c>
      <c r="E67" t="s">
        <v>617</v>
      </c>
      <c r="F67">
        <v>431423737</v>
      </c>
      <c r="G67">
        <v>803313934</v>
      </c>
      <c r="H67">
        <v>39807</v>
      </c>
      <c r="I67">
        <v>39906</v>
      </c>
      <c r="J67">
        <f>Table1345678910111213234567891011[[#This Row],[LOADED LITRES]]-Table1345678910111213234567891011[[#This Row],[Offloading Litres]]</f>
        <v>-99</v>
      </c>
      <c r="K67" t="s">
        <v>32</v>
      </c>
      <c r="L67">
        <v>76331560</v>
      </c>
      <c r="M67" t="s">
        <v>2594</v>
      </c>
      <c r="N67">
        <v>0.68659999999999999</v>
      </c>
      <c r="O67" s="8">
        <f>Table1345678910111213234567891011[[#This Row],[Offloading Litres]]*Table1345678910111213234567891011[[#This Row],[Rate]]</f>
        <v>27399.459599999998</v>
      </c>
      <c r="P67" s="9" t="s">
        <v>2491</v>
      </c>
      <c r="Q67" t="s">
        <v>2798</v>
      </c>
    </row>
    <row r="68" spans="1:17" x14ac:dyDescent="0.3">
      <c r="A68" s="7">
        <v>45947</v>
      </c>
      <c r="B68" s="7">
        <v>45949</v>
      </c>
      <c r="C68" t="s">
        <v>29</v>
      </c>
      <c r="D68" t="s">
        <v>24</v>
      </c>
      <c r="E68" t="s">
        <v>40</v>
      </c>
      <c r="F68" s="22">
        <v>431276788</v>
      </c>
      <c r="G68">
        <v>803314139</v>
      </c>
      <c r="H68">
        <v>44131</v>
      </c>
      <c r="I68">
        <v>44239</v>
      </c>
      <c r="J68">
        <f>Table1345678910111213234567891011[[#This Row],[LOADED LITRES]]-Table1345678910111213234567891011[[#This Row],[Offloading Litres]]</f>
        <v>-108</v>
      </c>
      <c r="K68" t="s">
        <v>25</v>
      </c>
      <c r="L68">
        <v>76331921</v>
      </c>
      <c r="M68" t="s">
        <v>2595</v>
      </c>
      <c r="N68">
        <v>0.74299999999999999</v>
      </c>
      <c r="O68" s="8">
        <f>Table1345678910111213234567891011[[#This Row],[Offloading Litres]]*Table1345678910111213234567891011[[#This Row],[Rate]]</f>
        <v>32869.576999999997</v>
      </c>
      <c r="P68" s="9" t="s">
        <v>2492</v>
      </c>
      <c r="Q68" t="s">
        <v>2801</v>
      </c>
    </row>
    <row r="69" spans="1:17" x14ac:dyDescent="0.3">
      <c r="A69" s="7">
        <v>45947</v>
      </c>
      <c r="B69" s="7">
        <v>45948</v>
      </c>
      <c r="C69" t="s">
        <v>21</v>
      </c>
      <c r="D69" t="s">
        <v>27</v>
      </c>
      <c r="E69" t="s">
        <v>617</v>
      </c>
      <c r="F69">
        <v>431423460</v>
      </c>
      <c r="G69">
        <v>803314208</v>
      </c>
      <c r="H69">
        <v>39322</v>
      </c>
      <c r="I69">
        <v>39492</v>
      </c>
      <c r="J69">
        <f>Table1345678910111213234567891011[[#This Row],[LOADED LITRES]]-Table1345678910111213234567891011[[#This Row],[Offloading Litres]]</f>
        <v>-170</v>
      </c>
      <c r="K69" t="s">
        <v>32</v>
      </c>
      <c r="L69">
        <v>76332008</v>
      </c>
      <c r="M69" t="s">
        <v>2596</v>
      </c>
      <c r="N69">
        <v>0.68659999999999999</v>
      </c>
      <c r="O69" s="8">
        <f>Table1345678910111213234567891011[[#This Row],[Offloading Litres]]*Table1345678910111213234567891011[[#This Row],[Rate]]</f>
        <v>27115.207200000001</v>
      </c>
      <c r="P69" s="9" t="s">
        <v>2489</v>
      </c>
      <c r="Q69" t="s">
        <v>2802</v>
      </c>
    </row>
    <row r="70" spans="1:17" x14ac:dyDescent="0.3">
      <c r="A70" s="7">
        <v>45947</v>
      </c>
      <c r="B70" s="7">
        <v>45948</v>
      </c>
      <c r="C70" t="s">
        <v>30</v>
      </c>
      <c r="D70" t="s">
        <v>349</v>
      </c>
      <c r="E70" t="s">
        <v>40</v>
      </c>
      <c r="F70">
        <v>431276759</v>
      </c>
      <c r="G70">
        <v>803314439</v>
      </c>
      <c r="H70">
        <v>44052</v>
      </c>
      <c r="I70">
        <v>44149</v>
      </c>
      <c r="J70">
        <f>Table1345678910111213234567891011[[#This Row],[LOADED LITRES]]-Table1345678910111213234567891011[[#This Row],[Offloading Litres]]</f>
        <v>-97</v>
      </c>
      <c r="K70" t="s">
        <v>25</v>
      </c>
      <c r="L70">
        <v>76332212</v>
      </c>
      <c r="M70" t="s">
        <v>2597</v>
      </c>
      <c r="N70">
        <v>0.74299999999999999</v>
      </c>
      <c r="O70" s="8">
        <f>Table1345678910111213234567891011[[#This Row],[Offloading Litres]]*Table1345678910111213234567891011[[#This Row],[Rate]]</f>
        <v>32802.707000000002</v>
      </c>
      <c r="P70" s="9" t="s">
        <v>2490</v>
      </c>
      <c r="Q70" t="s">
        <v>2799</v>
      </c>
    </row>
    <row r="71" spans="1:17" x14ac:dyDescent="0.3">
      <c r="A71" s="7">
        <v>45948</v>
      </c>
      <c r="B71" s="7">
        <v>45948</v>
      </c>
      <c r="C71" t="s">
        <v>23</v>
      </c>
      <c r="D71" t="s">
        <v>287</v>
      </c>
      <c r="E71" t="s">
        <v>40</v>
      </c>
      <c r="F71">
        <v>431276785</v>
      </c>
      <c r="G71">
        <v>803314467</v>
      </c>
      <c r="H71">
        <v>44034</v>
      </c>
      <c r="I71">
        <v>44145</v>
      </c>
      <c r="J71">
        <f>Table1345678910111213234567891011[[#This Row],[LOADED LITRES]]-Table1345678910111213234567891011[[#This Row],[Offloading Litres]]</f>
        <v>-111</v>
      </c>
      <c r="K71" t="s">
        <v>25</v>
      </c>
      <c r="L71">
        <v>76332271</v>
      </c>
      <c r="M71" t="s">
        <v>2598</v>
      </c>
      <c r="N71">
        <v>0.74299999999999999</v>
      </c>
      <c r="O71" s="8">
        <f>Table1345678910111213234567891011[[#This Row],[Offloading Litres]]*Table1345678910111213234567891011[[#This Row],[Rate]]</f>
        <v>32799.735000000001</v>
      </c>
      <c r="P71" s="9" t="s">
        <v>2493</v>
      </c>
      <c r="Q71" t="s">
        <v>2797</v>
      </c>
    </row>
    <row r="72" spans="1:17" x14ac:dyDescent="0.3">
      <c r="A72" s="7">
        <v>45948</v>
      </c>
      <c r="B72" s="7">
        <v>45949</v>
      </c>
      <c r="C72" t="s">
        <v>103</v>
      </c>
      <c r="D72" t="s">
        <v>47</v>
      </c>
      <c r="E72" t="s">
        <v>617</v>
      </c>
      <c r="F72">
        <v>431423632</v>
      </c>
      <c r="G72">
        <v>803316154</v>
      </c>
      <c r="H72">
        <v>39263</v>
      </c>
      <c r="I72">
        <v>39271</v>
      </c>
      <c r="J72">
        <f>Table1345678910111213234567891011[[#This Row],[LOADED LITRES]]-Table1345678910111213234567891011[[#This Row],[Offloading Litres]]</f>
        <v>-8</v>
      </c>
      <c r="K72" t="s">
        <v>32</v>
      </c>
      <c r="L72">
        <v>76334022</v>
      </c>
      <c r="M72" t="s">
        <v>2599</v>
      </c>
      <c r="N72">
        <v>0.68659999999999999</v>
      </c>
      <c r="O72" s="8">
        <f>Table1345678910111213234567891011[[#This Row],[Offloading Litres]]*Table1345678910111213234567891011[[#This Row],[Rate]]</f>
        <v>26963.4686</v>
      </c>
      <c r="P72" s="9" t="s">
        <v>2494</v>
      </c>
      <c r="Q72" t="s">
        <v>2796</v>
      </c>
    </row>
    <row r="73" spans="1:17" x14ac:dyDescent="0.3">
      <c r="A73" s="7">
        <v>45948</v>
      </c>
      <c r="B73" s="7">
        <v>45950</v>
      </c>
      <c r="C73" t="s">
        <v>1794</v>
      </c>
      <c r="D73" t="s">
        <v>35</v>
      </c>
      <c r="E73" t="s">
        <v>40</v>
      </c>
      <c r="F73">
        <v>431480887</v>
      </c>
      <c r="G73">
        <v>803316505</v>
      </c>
      <c r="H73">
        <v>44645</v>
      </c>
      <c r="I73">
        <v>44397</v>
      </c>
      <c r="J73">
        <f>Table1345678910111213234567891011[[#This Row],[LOADED LITRES]]-Table1345678910111213234567891011[[#This Row],[Offloading Litres]]</f>
        <v>248</v>
      </c>
      <c r="K73" t="s">
        <v>25</v>
      </c>
      <c r="L73">
        <v>76334355</v>
      </c>
      <c r="M73" t="s">
        <v>2600</v>
      </c>
      <c r="N73">
        <v>0.74299999999999999</v>
      </c>
      <c r="O73" s="8">
        <f>Table1345678910111213234567891011[[#This Row],[Offloading Litres]]*Table1345678910111213234567891011[[#This Row],[Rate]]</f>
        <v>32986.970999999998</v>
      </c>
      <c r="P73" s="9" t="s">
        <v>2495</v>
      </c>
      <c r="Q73" t="s">
        <v>2838</v>
      </c>
    </row>
    <row r="74" spans="1:17" x14ac:dyDescent="0.3">
      <c r="A74" s="7">
        <v>45949</v>
      </c>
      <c r="B74" s="7">
        <v>45950</v>
      </c>
      <c r="C74" t="s">
        <v>34</v>
      </c>
      <c r="D74" t="s">
        <v>26</v>
      </c>
      <c r="E74" t="s">
        <v>40</v>
      </c>
      <c r="F74">
        <v>431481781</v>
      </c>
      <c r="G74">
        <v>803317126</v>
      </c>
      <c r="H74">
        <v>44112</v>
      </c>
      <c r="I74">
        <v>43943</v>
      </c>
      <c r="J74">
        <f>Table1345678910111213234567891011[[#This Row],[LOADED LITRES]]-Table1345678910111213234567891011[[#This Row],[Offloading Litres]]</f>
        <v>169</v>
      </c>
      <c r="K74" t="s">
        <v>25</v>
      </c>
      <c r="L74">
        <v>76334971</v>
      </c>
      <c r="M74" t="s">
        <v>2601</v>
      </c>
      <c r="N74">
        <v>0.74299999999999999</v>
      </c>
      <c r="O74" s="8">
        <f>Table1345678910111213234567891011[[#This Row],[Offloading Litres]]*Table1345678910111213234567891011[[#This Row],[Rate]]</f>
        <v>32649.649000000001</v>
      </c>
      <c r="P74" s="9" t="s">
        <v>2496</v>
      </c>
      <c r="Q74" t="s">
        <v>2846</v>
      </c>
    </row>
    <row r="75" spans="1:17" x14ac:dyDescent="0.3">
      <c r="A75" s="7">
        <v>45949</v>
      </c>
      <c r="B75" s="7">
        <v>45950</v>
      </c>
      <c r="C75" t="s">
        <v>28</v>
      </c>
      <c r="D75" t="s">
        <v>2425</v>
      </c>
      <c r="E75" t="s">
        <v>40</v>
      </c>
      <c r="F75">
        <v>431480885</v>
      </c>
      <c r="G75">
        <v>803317168</v>
      </c>
      <c r="H75">
        <v>44401</v>
      </c>
      <c r="I75">
        <v>44145</v>
      </c>
      <c r="J75">
        <f>Table1345678910111213234567891011[[#This Row],[LOADED LITRES]]-Table1345678910111213234567891011[[#This Row],[Offloading Litres]]</f>
        <v>256</v>
      </c>
      <c r="K75" t="s">
        <v>25</v>
      </c>
      <c r="L75">
        <v>76335025</v>
      </c>
      <c r="M75" t="s">
        <v>2602</v>
      </c>
      <c r="N75">
        <v>0.74299999999999999</v>
      </c>
      <c r="O75" s="8">
        <f>Table1345678910111213234567891011[[#This Row],[Offloading Litres]]*Table1345678910111213234567891011[[#This Row],[Rate]]</f>
        <v>32799.735000000001</v>
      </c>
      <c r="P75" s="9" t="s">
        <v>2497</v>
      </c>
      <c r="Q75" t="s">
        <v>2845</v>
      </c>
    </row>
    <row r="76" spans="1:17" x14ac:dyDescent="0.3">
      <c r="A76" s="7">
        <v>45949</v>
      </c>
      <c r="B76" s="7">
        <v>45951</v>
      </c>
      <c r="C76" t="s">
        <v>21</v>
      </c>
      <c r="D76" t="s">
        <v>27</v>
      </c>
      <c r="E76" t="s">
        <v>16</v>
      </c>
      <c r="F76">
        <v>431522004</v>
      </c>
      <c r="G76">
        <v>803317750</v>
      </c>
      <c r="H76">
        <v>44672</v>
      </c>
      <c r="I76">
        <v>44611</v>
      </c>
      <c r="J76">
        <f>Table1345678910111213234567891011[[#This Row],[LOADED LITRES]]-Table1345678910111213234567891011[[#This Row],[Offloading Litres]]</f>
        <v>61</v>
      </c>
      <c r="K76" t="s">
        <v>25</v>
      </c>
      <c r="L76">
        <v>76335383</v>
      </c>
      <c r="M76" t="s">
        <v>2603</v>
      </c>
      <c r="N76">
        <v>0.68720000000000003</v>
      </c>
      <c r="O76" s="8">
        <f>Table1345678910111213234567891011[[#This Row],[Offloading Litres]]*Table1345678910111213234567891011[[#This Row],[Rate]]</f>
        <v>30656.679200000002</v>
      </c>
      <c r="P76" s="9" t="s">
        <v>2498</v>
      </c>
      <c r="Q76" t="s">
        <v>2842</v>
      </c>
    </row>
    <row r="77" spans="1:17" x14ac:dyDescent="0.3">
      <c r="A77" s="7">
        <v>45949</v>
      </c>
      <c r="B77" s="7">
        <v>45951</v>
      </c>
      <c r="C77" t="s">
        <v>22</v>
      </c>
      <c r="D77" t="s">
        <v>624</v>
      </c>
      <c r="E77" t="s">
        <v>16</v>
      </c>
      <c r="F77">
        <v>431521992</v>
      </c>
      <c r="G77">
        <v>803317812</v>
      </c>
      <c r="H77">
        <v>44209</v>
      </c>
      <c r="I77">
        <v>44262</v>
      </c>
      <c r="J77">
        <f>Table1345678910111213234567891011[[#This Row],[LOADED LITRES]]-Table1345678910111213234567891011[[#This Row],[Offloading Litres]]</f>
        <v>-53</v>
      </c>
      <c r="K77" t="s">
        <v>25</v>
      </c>
      <c r="L77">
        <v>76335451</v>
      </c>
      <c r="M77" t="s">
        <v>2604</v>
      </c>
      <c r="N77">
        <v>0.68720000000000003</v>
      </c>
      <c r="O77" s="8">
        <f>Table1345678910111213234567891011[[#This Row],[Offloading Litres]]*Table1345678910111213234567891011[[#This Row],[Rate]]</f>
        <v>30416.846400000002</v>
      </c>
      <c r="P77" s="9" t="s">
        <v>2500</v>
      </c>
      <c r="Q77" t="s">
        <v>2840</v>
      </c>
    </row>
    <row r="78" spans="1:17" x14ac:dyDescent="0.3">
      <c r="A78" s="7">
        <v>45949</v>
      </c>
      <c r="B78" s="7">
        <v>45951</v>
      </c>
      <c r="C78" t="s">
        <v>29</v>
      </c>
      <c r="D78" t="s">
        <v>24</v>
      </c>
      <c r="E78" t="s">
        <v>40</v>
      </c>
      <c r="F78">
        <v>431480889</v>
      </c>
      <c r="G78">
        <v>803317827</v>
      </c>
      <c r="H78">
        <v>44212</v>
      </c>
      <c r="I78">
        <v>44157</v>
      </c>
      <c r="J78">
        <f>Table1345678910111213234567891011[[#This Row],[LOADED LITRES]]-Table1345678910111213234567891011[[#This Row],[Offloading Litres]]</f>
        <v>55</v>
      </c>
      <c r="K78" t="s">
        <v>25</v>
      </c>
      <c r="L78">
        <v>76335489</v>
      </c>
      <c r="M78" t="s">
        <v>2605</v>
      </c>
      <c r="N78">
        <v>0.74299999999999999</v>
      </c>
      <c r="O78" s="8">
        <f>Table1345678910111213234567891011[[#This Row],[Offloading Litres]]*Table1345678910111213234567891011[[#This Row],[Rate]]</f>
        <v>32808.650999999998</v>
      </c>
      <c r="P78" s="9" t="s">
        <v>2501</v>
      </c>
      <c r="Q78" t="s">
        <v>2841</v>
      </c>
    </row>
    <row r="79" spans="1:17" x14ac:dyDescent="0.3">
      <c r="A79" s="7">
        <v>45949</v>
      </c>
      <c r="B79" s="7">
        <v>45951</v>
      </c>
      <c r="C79" t="s">
        <v>23</v>
      </c>
      <c r="D79" t="s">
        <v>287</v>
      </c>
      <c r="E79" t="s">
        <v>16</v>
      </c>
      <c r="F79">
        <v>431522019</v>
      </c>
      <c r="G79">
        <v>803317811</v>
      </c>
      <c r="H79">
        <v>44135</v>
      </c>
      <c r="I79">
        <v>44186</v>
      </c>
      <c r="J79">
        <f>Table1345678910111213234567891011[[#This Row],[LOADED LITRES]]-Table1345678910111213234567891011[[#This Row],[Offloading Litres]]</f>
        <v>-51</v>
      </c>
      <c r="K79" t="s">
        <v>25</v>
      </c>
      <c r="L79">
        <v>76335449</v>
      </c>
      <c r="M79" t="s">
        <v>2606</v>
      </c>
      <c r="N79">
        <v>0.68720000000000003</v>
      </c>
      <c r="O79" s="8">
        <f>Table1345678910111213234567891011[[#This Row],[Offloading Litres]]*Table1345678910111213234567891011[[#This Row],[Rate]]</f>
        <v>30364.619200000001</v>
      </c>
      <c r="P79" s="9" t="s">
        <v>2503</v>
      </c>
      <c r="Q79" t="s">
        <v>2843</v>
      </c>
    </row>
    <row r="80" spans="1:17" x14ac:dyDescent="0.3">
      <c r="A80" s="7">
        <v>45949</v>
      </c>
      <c r="B80" s="7">
        <v>45951</v>
      </c>
      <c r="C80" t="s">
        <v>30</v>
      </c>
      <c r="D80" t="s">
        <v>349</v>
      </c>
      <c r="E80" t="s">
        <v>16</v>
      </c>
      <c r="F80">
        <v>431522007</v>
      </c>
      <c r="G80">
        <v>803317831</v>
      </c>
      <c r="H80">
        <v>44171</v>
      </c>
      <c r="I80">
        <v>44203</v>
      </c>
      <c r="J80">
        <f>Table1345678910111213234567891011[[#This Row],[LOADED LITRES]]-Table1345678910111213234567891011[[#This Row],[Offloading Litres]]</f>
        <v>-32</v>
      </c>
      <c r="K80" t="s">
        <v>25</v>
      </c>
      <c r="L80">
        <v>76335494</v>
      </c>
      <c r="M80" t="s">
        <v>2607</v>
      </c>
      <c r="N80">
        <v>0.68720000000000003</v>
      </c>
      <c r="O80" s="8">
        <f>Table1345678910111213234567891011[[#This Row],[Offloading Litres]]*Table1345678910111213234567891011[[#This Row],[Rate]]</f>
        <v>30376.301600000003</v>
      </c>
      <c r="P80" s="9" t="s">
        <v>2502</v>
      </c>
      <c r="Q80" t="s">
        <v>2844</v>
      </c>
    </row>
    <row r="81" spans="1:20" x14ac:dyDescent="0.3">
      <c r="A81" s="7">
        <v>45949</v>
      </c>
      <c r="B81" s="7">
        <v>45951</v>
      </c>
      <c r="C81" t="s">
        <v>103</v>
      </c>
      <c r="D81" t="s">
        <v>47</v>
      </c>
      <c r="E81" t="s">
        <v>40</v>
      </c>
      <c r="F81">
        <v>431480826</v>
      </c>
      <c r="G81">
        <v>803317880</v>
      </c>
      <c r="H81">
        <v>44273</v>
      </c>
      <c r="I81">
        <v>44236</v>
      </c>
      <c r="J81">
        <f>Table1345678910111213234567891011[[#This Row],[LOADED LITRES]]-Table1345678910111213234567891011[[#This Row],[Offloading Litres]]</f>
        <v>37</v>
      </c>
      <c r="K81" t="s">
        <v>25</v>
      </c>
      <c r="L81">
        <v>76335561</v>
      </c>
      <c r="M81" t="s">
        <v>2608</v>
      </c>
      <c r="N81">
        <v>0.74299999999999999</v>
      </c>
      <c r="O81" s="8">
        <f>Table1345678910111213234567891011[[#This Row],[Offloading Litres]]*Table1345678910111213234567891011[[#This Row],[Rate]]</f>
        <v>32867.347999999998</v>
      </c>
      <c r="P81" s="9" t="s">
        <v>2499</v>
      </c>
      <c r="Q81" t="s">
        <v>2839</v>
      </c>
    </row>
    <row r="82" spans="1:20" x14ac:dyDescent="0.3">
      <c r="A82" s="7">
        <v>45951</v>
      </c>
      <c r="B82" s="7">
        <v>45952</v>
      </c>
      <c r="C82" t="s">
        <v>34</v>
      </c>
      <c r="D82" t="s">
        <v>26</v>
      </c>
      <c r="E82" t="s">
        <v>40</v>
      </c>
      <c r="F82">
        <v>431480814</v>
      </c>
      <c r="G82">
        <v>803323370</v>
      </c>
      <c r="H82">
        <v>44080</v>
      </c>
      <c r="I82">
        <v>44196</v>
      </c>
      <c r="J82">
        <f>Table1345678910111213234567891011[[#This Row],[LOADED LITRES]]-Table1345678910111213234567891011[[#This Row],[Offloading Litres]]</f>
        <v>-116</v>
      </c>
      <c r="K82" t="s">
        <v>25</v>
      </c>
      <c r="L82">
        <v>76341024</v>
      </c>
      <c r="M82" t="s">
        <v>2609</v>
      </c>
      <c r="N82">
        <v>0.74299999999999999</v>
      </c>
      <c r="O82" s="8">
        <f>Table1345678910111213234567891011[[#This Row],[Offloading Litres]]*Table1345678910111213234567891011[[#This Row],[Rate]]</f>
        <v>32837.627999999997</v>
      </c>
      <c r="P82" s="9" t="s">
        <v>2505</v>
      </c>
      <c r="Q82" t="s">
        <v>2811</v>
      </c>
    </row>
    <row r="83" spans="1:20" x14ac:dyDescent="0.3">
      <c r="A83" s="7">
        <v>45951</v>
      </c>
      <c r="B83" s="7">
        <v>45952</v>
      </c>
      <c r="C83" t="s">
        <v>1794</v>
      </c>
      <c r="D83" t="s">
        <v>35</v>
      </c>
      <c r="E83" t="s">
        <v>40</v>
      </c>
      <c r="F83">
        <v>431481709</v>
      </c>
      <c r="G83">
        <v>803324354</v>
      </c>
      <c r="H83">
        <v>44623</v>
      </c>
      <c r="I83">
        <v>44749</v>
      </c>
      <c r="J83">
        <f>Table1345678910111213234567891011[[#This Row],[LOADED LITRES]]-Table1345678910111213234567891011[[#This Row],[Offloading Litres]]</f>
        <v>-126</v>
      </c>
      <c r="K83" t="s">
        <v>25</v>
      </c>
      <c r="L83">
        <v>76341769</v>
      </c>
      <c r="M83" t="s">
        <v>2610</v>
      </c>
      <c r="N83">
        <v>0.74299999999999999</v>
      </c>
      <c r="O83" s="8">
        <f>Table1345678910111213234567891011[[#This Row],[Offloading Litres]]*Table1345678910111213234567891011[[#This Row],[Rate]]</f>
        <v>33248.506999999998</v>
      </c>
      <c r="P83" s="9" t="s">
        <v>2506</v>
      </c>
      <c r="Q83" t="s">
        <v>2805</v>
      </c>
    </row>
    <row r="84" spans="1:20" x14ac:dyDescent="0.3">
      <c r="A84" s="7">
        <v>45951</v>
      </c>
      <c r="B84" s="7">
        <v>45953</v>
      </c>
      <c r="C84" t="s">
        <v>21</v>
      </c>
      <c r="D84" t="s">
        <v>27</v>
      </c>
      <c r="E84" t="s">
        <v>40</v>
      </c>
      <c r="F84">
        <v>431480810</v>
      </c>
      <c r="G84">
        <v>803327738</v>
      </c>
      <c r="H84">
        <v>44644</v>
      </c>
      <c r="I84">
        <v>44585</v>
      </c>
      <c r="J84">
        <f>Table1345678910111213234567891011[[#This Row],[LOADED LITRES]]-Table1345678910111213234567891011[[#This Row],[Offloading Litres]]</f>
        <v>59</v>
      </c>
      <c r="K84" t="s">
        <v>25</v>
      </c>
      <c r="L84">
        <v>76345092</v>
      </c>
      <c r="M84" t="s">
        <v>2611</v>
      </c>
      <c r="N84">
        <v>0.74299999999999999</v>
      </c>
      <c r="O84" s="8">
        <f>Table1345678910111213234567891011[[#This Row],[Offloading Litres]]*Table1345678910111213234567891011[[#This Row],[Rate]]</f>
        <v>33126.654999999999</v>
      </c>
      <c r="P84" s="9" t="s">
        <v>2508</v>
      </c>
      <c r="Q84" t="s">
        <v>2810</v>
      </c>
    </row>
    <row r="85" spans="1:20" x14ac:dyDescent="0.3">
      <c r="A85" s="7">
        <v>45952</v>
      </c>
      <c r="B85" s="7">
        <v>45954</v>
      </c>
      <c r="C85" t="s">
        <v>29</v>
      </c>
      <c r="D85" t="s">
        <v>24</v>
      </c>
      <c r="E85" t="s">
        <v>16</v>
      </c>
      <c r="F85">
        <v>431522039</v>
      </c>
      <c r="G85">
        <v>803331816</v>
      </c>
      <c r="H85">
        <v>44024</v>
      </c>
      <c r="I85">
        <v>44112</v>
      </c>
      <c r="J85">
        <f>Table1345678910111213234567891011[[#This Row],[LOADED LITRES]]-Table1345678910111213234567891011[[#This Row],[Offloading Litres]]</f>
        <v>-88</v>
      </c>
      <c r="K85" t="s">
        <v>25</v>
      </c>
      <c r="L85">
        <v>76348632</v>
      </c>
      <c r="M85" t="s">
        <v>2613</v>
      </c>
      <c r="N85">
        <v>0.68720000000000003</v>
      </c>
      <c r="O85" s="8">
        <f>Table1345678910111213234567891011[[#This Row],[Offloading Litres]]*Table1345678910111213234567891011[[#This Row],[Rate]]</f>
        <v>30313.7664</v>
      </c>
      <c r="P85" s="9" t="s">
        <v>2513</v>
      </c>
      <c r="Q85" t="s">
        <v>2806</v>
      </c>
    </row>
    <row r="86" spans="1:20" s="15" customFormat="1" x14ac:dyDescent="0.3">
      <c r="A86" s="7">
        <v>45952</v>
      </c>
      <c r="B86" s="7">
        <v>45954</v>
      </c>
      <c r="C86" t="s">
        <v>103</v>
      </c>
      <c r="D86" t="s">
        <v>47</v>
      </c>
      <c r="E86" t="s">
        <v>16</v>
      </c>
      <c r="F86">
        <v>431522030</v>
      </c>
      <c r="G86">
        <v>803331817</v>
      </c>
      <c r="H86">
        <v>44021</v>
      </c>
      <c r="I86">
        <v>44194</v>
      </c>
      <c r="J86">
        <f>Table1345678910111213234567891011[[#This Row],[LOADED LITRES]]-Table1345678910111213234567891011[[#This Row],[Offloading Litres]]</f>
        <v>-173</v>
      </c>
      <c r="K86" t="s">
        <v>25</v>
      </c>
      <c r="L86">
        <v>76348633</v>
      </c>
      <c r="M86" t="s">
        <v>2614</v>
      </c>
      <c r="N86">
        <v>0.68720000000000003</v>
      </c>
      <c r="O86" s="8">
        <f>Table1345678910111213234567891011[[#This Row],[Offloading Litres]]*Table1345678910111213234567891011[[#This Row],[Rate]]</f>
        <v>30370.1168</v>
      </c>
      <c r="P86" s="9" t="s">
        <v>2512</v>
      </c>
      <c r="Q86" t="s">
        <v>2807</v>
      </c>
      <c r="R86"/>
      <c r="S86"/>
      <c r="T86"/>
    </row>
    <row r="87" spans="1:20" x14ac:dyDescent="0.3">
      <c r="A87" s="7">
        <v>45952</v>
      </c>
      <c r="B87" s="7">
        <v>45953</v>
      </c>
      <c r="C87" t="s">
        <v>23</v>
      </c>
      <c r="D87" t="s">
        <v>287</v>
      </c>
      <c r="E87" t="s">
        <v>40</v>
      </c>
      <c r="F87">
        <v>431520145</v>
      </c>
      <c r="G87">
        <v>803333047</v>
      </c>
      <c r="H87">
        <v>44011</v>
      </c>
      <c r="I87">
        <v>44399</v>
      </c>
      <c r="J87">
        <f>Table1345678910111213234567891011[[#This Row],[LOADED LITRES]]-Table1345678910111213234567891011[[#This Row],[Offloading Litres]]</f>
        <v>-388</v>
      </c>
      <c r="K87" t="s">
        <v>25</v>
      </c>
      <c r="L87">
        <v>76349825</v>
      </c>
      <c r="M87" t="s">
        <v>2615</v>
      </c>
      <c r="N87">
        <v>0.74299999999999999</v>
      </c>
      <c r="O87" s="8">
        <f>Table1345678910111213234567891011[[#This Row],[Offloading Litres]]*Table1345678910111213234567891011[[#This Row],[Rate]]</f>
        <v>32988.457000000002</v>
      </c>
      <c r="P87" s="9" t="s">
        <v>2510</v>
      </c>
      <c r="Q87" t="s">
        <v>2809</v>
      </c>
    </row>
    <row r="88" spans="1:20" x14ac:dyDescent="0.3">
      <c r="A88" s="7">
        <v>45952</v>
      </c>
      <c r="B88" s="7">
        <v>45953</v>
      </c>
      <c r="C88" t="s">
        <v>30</v>
      </c>
      <c r="D88" t="s">
        <v>349</v>
      </c>
      <c r="E88" t="s">
        <v>40</v>
      </c>
      <c r="F88">
        <v>431520159</v>
      </c>
      <c r="G88">
        <v>803333070</v>
      </c>
      <c r="H88">
        <v>44026</v>
      </c>
      <c r="I88">
        <v>44376</v>
      </c>
      <c r="J88">
        <f>Table1345678910111213234567891011[[#This Row],[LOADED LITRES]]-Table1345678910111213234567891011[[#This Row],[Offloading Litres]]</f>
        <v>-350</v>
      </c>
      <c r="K88" t="s">
        <v>25</v>
      </c>
      <c r="L88">
        <v>76349875</v>
      </c>
      <c r="M88" t="s">
        <v>2616</v>
      </c>
      <c r="N88">
        <v>0.74299999999999999</v>
      </c>
      <c r="O88" s="8">
        <f>Table1345678910111213234567891011[[#This Row],[Offloading Litres]]*Table1345678910111213234567891011[[#This Row],[Rate]]</f>
        <v>32971.368000000002</v>
      </c>
      <c r="P88" s="9" t="s">
        <v>2511</v>
      </c>
      <c r="Q88" t="s">
        <v>2808</v>
      </c>
    </row>
    <row r="89" spans="1:20" x14ac:dyDescent="0.3">
      <c r="A89" s="7">
        <v>45953</v>
      </c>
      <c r="B89" s="7">
        <v>45955</v>
      </c>
      <c r="C89" t="s">
        <v>1794</v>
      </c>
      <c r="D89" t="s">
        <v>35</v>
      </c>
      <c r="E89" t="s">
        <v>40</v>
      </c>
      <c r="F89">
        <v>431480817</v>
      </c>
      <c r="G89">
        <v>803337851</v>
      </c>
      <c r="H89">
        <v>44543</v>
      </c>
      <c r="I89">
        <v>44728</v>
      </c>
      <c r="J89">
        <f>Table1345678910111213234567891011[[#This Row],[LOADED LITRES]]-Table1345678910111213234567891011[[#This Row],[Offloading Litres]]</f>
        <v>-185</v>
      </c>
      <c r="K89" t="s">
        <v>25</v>
      </c>
      <c r="L89">
        <v>76354378</v>
      </c>
      <c r="M89" t="s">
        <v>2625</v>
      </c>
      <c r="N89">
        <v>0.74299999999999999</v>
      </c>
      <c r="O89" s="8">
        <f>Table1345678910111213234567891011[[#This Row],[Offloading Litres]]*Table1345678910111213234567891011[[#This Row],[Rate]]</f>
        <v>33232.904000000002</v>
      </c>
      <c r="P89" s="9" t="s">
        <v>2514</v>
      </c>
      <c r="Q89" t="s">
        <v>2816</v>
      </c>
    </row>
    <row r="90" spans="1:20" x14ac:dyDescent="0.3">
      <c r="A90" s="7">
        <v>45954</v>
      </c>
      <c r="B90" s="7">
        <v>45956</v>
      </c>
      <c r="C90" t="s">
        <v>28</v>
      </c>
      <c r="D90" t="s">
        <v>2425</v>
      </c>
      <c r="E90" t="s">
        <v>40</v>
      </c>
      <c r="F90">
        <v>431520335</v>
      </c>
      <c r="G90">
        <v>803340357</v>
      </c>
      <c r="H90">
        <v>44246</v>
      </c>
      <c r="I90">
        <v>44680</v>
      </c>
      <c r="J90">
        <f>Table1345678910111213234567891011[[#This Row],[LOADED LITRES]]-Table1345678910111213234567891011[[#This Row],[Offloading Litres]]</f>
        <v>-434</v>
      </c>
      <c r="K90" t="s">
        <v>25</v>
      </c>
      <c r="L90">
        <v>76356436</v>
      </c>
      <c r="M90" t="s">
        <v>2626</v>
      </c>
      <c r="N90">
        <v>0.74299999999999999</v>
      </c>
      <c r="O90" s="8">
        <f>Table1345678910111213234567891011[[#This Row],[Offloading Litres]]*Table1345678910111213234567891011[[#This Row],[Rate]]</f>
        <v>33197.24</v>
      </c>
      <c r="P90" s="9" t="s">
        <v>2515</v>
      </c>
      <c r="Q90" t="s">
        <v>2814</v>
      </c>
    </row>
    <row r="91" spans="1:20" x14ac:dyDescent="0.3">
      <c r="A91" s="7">
        <v>45954</v>
      </c>
      <c r="B91" s="7">
        <v>45956</v>
      </c>
      <c r="C91" t="s">
        <v>22</v>
      </c>
      <c r="D91" t="s">
        <v>624</v>
      </c>
      <c r="E91" t="s">
        <v>40</v>
      </c>
      <c r="F91">
        <v>431520338</v>
      </c>
      <c r="G91">
        <v>803340633</v>
      </c>
      <c r="H91">
        <v>44056</v>
      </c>
      <c r="I91">
        <v>44447</v>
      </c>
      <c r="J91">
        <f>Table1345678910111213234567891011[[#This Row],[LOADED LITRES]]-Table1345678910111213234567891011[[#This Row],[Offloading Litres]]</f>
        <v>-391</v>
      </c>
      <c r="K91" t="s">
        <v>25</v>
      </c>
      <c r="L91">
        <v>76356708</v>
      </c>
      <c r="M91" t="s">
        <v>2627</v>
      </c>
      <c r="N91">
        <v>0.74299999999999999</v>
      </c>
      <c r="O91" s="8">
        <f>Table1345678910111213234567891011[[#This Row],[Offloading Litres]]*Table1345678910111213234567891011[[#This Row],[Rate]]</f>
        <v>33024.120999999999</v>
      </c>
      <c r="P91" s="9" t="s">
        <v>2516</v>
      </c>
      <c r="Q91" t="s">
        <v>2831</v>
      </c>
    </row>
    <row r="92" spans="1:20" x14ac:dyDescent="0.3">
      <c r="A92" s="7">
        <v>45954</v>
      </c>
      <c r="B92" s="7">
        <v>45957</v>
      </c>
      <c r="C92" t="s">
        <v>21</v>
      </c>
      <c r="D92" t="s">
        <v>27</v>
      </c>
      <c r="E92" t="s">
        <v>16</v>
      </c>
      <c r="F92">
        <v>431522049</v>
      </c>
      <c r="G92">
        <v>803343267</v>
      </c>
      <c r="H92">
        <v>44560</v>
      </c>
      <c r="I92">
        <v>44539</v>
      </c>
      <c r="J92">
        <f>Table1345678910111213234567891011[[#This Row],[LOADED LITRES]]-Table1345678910111213234567891011[[#This Row],[Offloading Litres]]</f>
        <v>21</v>
      </c>
      <c r="K92" t="s">
        <v>25</v>
      </c>
      <c r="L92">
        <v>76359852</v>
      </c>
      <c r="M92" t="s">
        <v>2628</v>
      </c>
      <c r="N92">
        <v>0.68720000000000003</v>
      </c>
      <c r="O92" s="8">
        <f>Table1345678910111213234567891011[[#This Row],[Offloading Litres]]*Table1345678910111213234567891011[[#This Row],[Rate]]</f>
        <v>30607.200800000002</v>
      </c>
      <c r="P92" s="9" t="s">
        <v>2517</v>
      </c>
      <c r="Q92" t="s">
        <v>2854</v>
      </c>
    </row>
    <row r="93" spans="1:20" x14ac:dyDescent="0.3">
      <c r="A93" s="7">
        <v>45954</v>
      </c>
      <c r="B93" s="7">
        <v>45957</v>
      </c>
      <c r="C93" t="s">
        <v>23</v>
      </c>
      <c r="D93" t="s">
        <v>287</v>
      </c>
      <c r="E93" t="s">
        <v>40</v>
      </c>
      <c r="F93">
        <v>431520334</v>
      </c>
      <c r="G93">
        <v>803343332</v>
      </c>
      <c r="H93">
        <v>43956</v>
      </c>
      <c r="I93">
        <v>44284</v>
      </c>
      <c r="J93">
        <f>Table1345678910111213234567891011[[#This Row],[LOADED LITRES]]-Table1345678910111213234567891011[[#This Row],[Offloading Litres]]</f>
        <v>-328</v>
      </c>
      <c r="K93" t="s">
        <v>25</v>
      </c>
      <c r="L93">
        <v>76359910</v>
      </c>
      <c r="M93" t="s">
        <v>2629</v>
      </c>
      <c r="N93">
        <v>0.74299999999999999</v>
      </c>
      <c r="O93" s="8">
        <f>Table1345678910111213234567891011[[#This Row],[Offloading Litres]]*Table1345678910111213234567891011[[#This Row],[Rate]]</f>
        <v>32903.012000000002</v>
      </c>
      <c r="P93" s="9" t="s">
        <v>2518</v>
      </c>
      <c r="Q93" t="s">
        <v>2813</v>
      </c>
    </row>
    <row r="94" spans="1:20" x14ac:dyDescent="0.3">
      <c r="A94" s="7">
        <v>45954</v>
      </c>
      <c r="B94" s="7">
        <v>45957</v>
      </c>
      <c r="C94" t="s">
        <v>30</v>
      </c>
      <c r="D94" t="s">
        <v>349</v>
      </c>
      <c r="E94" t="s">
        <v>40</v>
      </c>
      <c r="F94">
        <v>431520337</v>
      </c>
      <c r="G94">
        <v>803343657</v>
      </c>
      <c r="H94">
        <v>43971</v>
      </c>
      <c r="I94">
        <v>44287</v>
      </c>
      <c r="J94">
        <f>Table1345678910111213234567891011[[#This Row],[LOADED LITRES]]-Table1345678910111213234567891011[[#This Row],[Offloading Litres]]</f>
        <v>-316</v>
      </c>
      <c r="K94" t="s">
        <v>25</v>
      </c>
      <c r="L94">
        <v>76360362</v>
      </c>
      <c r="M94" t="s">
        <v>2630</v>
      </c>
      <c r="N94">
        <v>0.74299999999999999</v>
      </c>
      <c r="O94" s="8">
        <f>Table1345678910111213234567891011[[#This Row],[Offloading Litres]]*Table1345678910111213234567891011[[#This Row],[Rate]]</f>
        <v>32905.241000000002</v>
      </c>
      <c r="P94" s="9" t="s">
        <v>2520</v>
      </c>
      <c r="Q94" t="s">
        <v>2832</v>
      </c>
    </row>
    <row r="95" spans="1:20" x14ac:dyDescent="0.3">
      <c r="A95" s="7">
        <v>45955</v>
      </c>
      <c r="B95" s="7">
        <v>45957</v>
      </c>
      <c r="C95" t="s">
        <v>34</v>
      </c>
      <c r="D95" t="s">
        <v>26</v>
      </c>
      <c r="E95" t="s">
        <v>40</v>
      </c>
      <c r="F95">
        <v>431520336</v>
      </c>
      <c r="G95">
        <v>803346908</v>
      </c>
      <c r="H95">
        <v>43979</v>
      </c>
      <c r="I95">
        <v>43974</v>
      </c>
      <c r="J95">
        <f>Table1345678910111213234567891011[[#This Row],[LOADED LITRES]]-Table1345678910111213234567891011[[#This Row],[Offloading Litres]]</f>
        <v>5</v>
      </c>
      <c r="K95" t="s">
        <v>25</v>
      </c>
      <c r="L95">
        <v>76362658</v>
      </c>
      <c r="M95" t="s">
        <v>2631</v>
      </c>
      <c r="N95">
        <v>0.74299999999999999</v>
      </c>
      <c r="O95" s="8">
        <f>Table1345678910111213234567891011[[#This Row],[Offloading Litres]]*Table1345678910111213234567891011[[#This Row],[Rate]]</f>
        <v>32672.682000000001</v>
      </c>
      <c r="P95" s="9" t="s">
        <v>2521</v>
      </c>
      <c r="Q95" t="s">
        <v>2830</v>
      </c>
    </row>
    <row r="96" spans="1:20" x14ac:dyDescent="0.3">
      <c r="A96" s="7">
        <v>45956</v>
      </c>
      <c r="B96" s="7">
        <v>45957</v>
      </c>
      <c r="C96" t="s">
        <v>103</v>
      </c>
      <c r="D96" t="s">
        <v>47</v>
      </c>
      <c r="E96" t="s">
        <v>40</v>
      </c>
      <c r="F96">
        <v>431520390</v>
      </c>
      <c r="G96">
        <v>803347008</v>
      </c>
      <c r="H96">
        <v>44095</v>
      </c>
      <c r="I96">
        <v>44428</v>
      </c>
      <c r="J96">
        <f>Table1345678910111213234567891011[[#This Row],[LOADED LITRES]]-Table1345678910111213234567891011[[#This Row],[Offloading Litres]]</f>
        <v>-333</v>
      </c>
      <c r="K96" t="s">
        <v>25</v>
      </c>
      <c r="L96">
        <v>76362765</v>
      </c>
      <c r="M96" t="s">
        <v>2632</v>
      </c>
      <c r="N96">
        <v>0.74299999999999999</v>
      </c>
      <c r="O96" s="8">
        <f>Table1345678910111213234567891011[[#This Row],[Offloading Litres]]*Table1345678910111213234567891011[[#This Row],[Rate]]</f>
        <v>33010.004000000001</v>
      </c>
      <c r="P96" s="9" t="s">
        <v>2522</v>
      </c>
      <c r="Q96" t="s">
        <v>2828</v>
      </c>
    </row>
    <row r="97" spans="1:17" x14ac:dyDescent="0.3">
      <c r="A97" s="7">
        <v>45956</v>
      </c>
      <c r="B97" s="7">
        <v>45957</v>
      </c>
      <c r="C97" t="s">
        <v>2421</v>
      </c>
      <c r="D97" t="s">
        <v>24</v>
      </c>
      <c r="E97" t="s">
        <v>40</v>
      </c>
      <c r="F97">
        <v>431520391</v>
      </c>
      <c r="G97">
        <v>803347007</v>
      </c>
      <c r="H97">
        <v>44111</v>
      </c>
      <c r="I97">
        <v>44467</v>
      </c>
      <c r="J97">
        <f>Table1345678910111213234567891011[[#This Row],[LOADED LITRES]]-Table1345678910111213234567891011[[#This Row],[Offloading Litres]]</f>
        <v>-356</v>
      </c>
      <c r="K97" t="s">
        <v>25</v>
      </c>
      <c r="L97">
        <v>76362767</v>
      </c>
      <c r="M97" t="s">
        <v>2633</v>
      </c>
      <c r="N97">
        <v>0.74299999999999999</v>
      </c>
      <c r="O97" s="8">
        <f>Table1345678910111213234567891011[[#This Row],[Offloading Litres]]*Table1345678910111213234567891011[[#This Row],[Rate]]</f>
        <v>33038.981</v>
      </c>
      <c r="P97" s="9" t="s">
        <v>2519</v>
      </c>
      <c r="Q97" t="s">
        <v>2827</v>
      </c>
    </row>
    <row r="98" spans="1:17" x14ac:dyDescent="0.3">
      <c r="A98" s="7">
        <v>45957</v>
      </c>
      <c r="B98" s="7">
        <v>45958</v>
      </c>
      <c r="C98" t="s">
        <v>1794</v>
      </c>
      <c r="D98" t="s">
        <v>35</v>
      </c>
      <c r="E98" t="s">
        <v>40</v>
      </c>
      <c r="F98">
        <v>431758921</v>
      </c>
      <c r="G98">
        <v>803347711</v>
      </c>
      <c r="H98">
        <v>44669</v>
      </c>
      <c r="I98">
        <v>44669</v>
      </c>
      <c r="J98">
        <f>Table1345678910111213234567891011[[#This Row],[LOADED LITRES]]-Table1345678910111213234567891011[[#This Row],[Offloading Litres]]</f>
        <v>0</v>
      </c>
      <c r="K98" t="s">
        <v>25</v>
      </c>
      <c r="L98">
        <v>76363596</v>
      </c>
      <c r="M98" t="s">
        <v>2634</v>
      </c>
      <c r="N98">
        <v>0.74299999999999999</v>
      </c>
      <c r="O98" s="8">
        <f>Table1345678910111213234567891011[[#This Row],[Offloading Litres]]*Table1345678910111213234567891011[[#This Row],[Rate]]</f>
        <v>33189.067000000003</v>
      </c>
      <c r="P98" s="9" t="s">
        <v>2525</v>
      </c>
      <c r="Q98" t="s">
        <v>2829</v>
      </c>
    </row>
    <row r="99" spans="1:17" x14ac:dyDescent="0.3">
      <c r="A99" s="7">
        <v>45957</v>
      </c>
      <c r="B99" s="7">
        <v>45958</v>
      </c>
      <c r="C99" t="s">
        <v>22</v>
      </c>
      <c r="D99" t="s">
        <v>624</v>
      </c>
      <c r="E99" t="s">
        <v>16</v>
      </c>
      <c r="F99">
        <v>431522061</v>
      </c>
      <c r="G99">
        <v>803353025</v>
      </c>
      <c r="H99">
        <v>44223</v>
      </c>
      <c r="I99">
        <v>44137</v>
      </c>
      <c r="J99">
        <f>Table1345678910111213234567891011[[#This Row],[LOADED LITRES]]-Table1345678910111213234567891011[[#This Row],[Offloading Litres]]</f>
        <v>86</v>
      </c>
      <c r="K99" t="s">
        <v>25</v>
      </c>
      <c r="L99">
        <v>76368517</v>
      </c>
      <c r="M99" t="s">
        <v>2635</v>
      </c>
      <c r="N99">
        <v>0.68720000000000003</v>
      </c>
      <c r="O99" s="8">
        <f>Table1345678910111213234567891011[[#This Row],[Offloading Litres]]*Table1345678910111213234567891011[[#This Row],[Rate]]</f>
        <v>30330.946400000001</v>
      </c>
      <c r="P99" s="9" t="s">
        <v>2524</v>
      </c>
      <c r="Q99" t="s">
        <v>2826</v>
      </c>
    </row>
    <row r="100" spans="1:17" x14ac:dyDescent="0.3">
      <c r="A100" s="7">
        <v>45957</v>
      </c>
      <c r="B100" s="7">
        <v>45958</v>
      </c>
      <c r="C100" t="s">
        <v>28</v>
      </c>
      <c r="D100" t="s">
        <v>2425</v>
      </c>
      <c r="E100" t="s">
        <v>16</v>
      </c>
      <c r="F100">
        <v>431522126</v>
      </c>
      <c r="G100">
        <v>803353088</v>
      </c>
      <c r="H100">
        <v>44451</v>
      </c>
      <c r="I100">
        <v>44357</v>
      </c>
      <c r="J100">
        <f>Table1345678910111213234567891011[[#This Row],[LOADED LITRES]]-Table1345678910111213234567891011[[#This Row],[Offloading Litres]]</f>
        <v>94</v>
      </c>
      <c r="K100" t="s">
        <v>25</v>
      </c>
      <c r="L100">
        <v>76368609</v>
      </c>
      <c r="M100" t="s">
        <v>2636</v>
      </c>
      <c r="N100">
        <v>0.68720000000000003</v>
      </c>
      <c r="O100" s="8">
        <f>Table1345678910111213234567891011[[#This Row],[Offloading Litres]]*Table1345678910111213234567891011[[#This Row],[Rate]]</f>
        <v>30482.130400000002</v>
      </c>
      <c r="P100" s="9" t="s">
        <v>2523</v>
      </c>
      <c r="Q100" t="s">
        <v>2864</v>
      </c>
    </row>
    <row r="101" spans="1:17" x14ac:dyDescent="0.3">
      <c r="A101" s="7">
        <v>45957</v>
      </c>
      <c r="B101" s="7">
        <v>45959</v>
      </c>
      <c r="C101" t="s">
        <v>23</v>
      </c>
      <c r="D101" t="s">
        <v>287</v>
      </c>
      <c r="E101" t="s">
        <v>40</v>
      </c>
      <c r="F101">
        <v>431758923</v>
      </c>
      <c r="G101">
        <v>803353118</v>
      </c>
      <c r="H101">
        <v>44133</v>
      </c>
      <c r="I101">
        <v>44117</v>
      </c>
      <c r="J101">
        <f>Table1345678910111213234567891011[[#This Row],[LOADED LITRES]]-Table1345678910111213234567891011[[#This Row],[Offloading Litres]]</f>
        <v>16</v>
      </c>
      <c r="K101" t="s">
        <v>25</v>
      </c>
      <c r="L101">
        <v>76368637</v>
      </c>
      <c r="M101" t="s">
        <v>2637</v>
      </c>
      <c r="N101">
        <v>0.74299999999999999</v>
      </c>
      <c r="O101" s="8">
        <f>Table1345678910111213234567891011[[#This Row],[Offloading Litres]]*Table1345678910111213234567891011[[#This Row],[Rate]]</f>
        <v>32778.930999999997</v>
      </c>
      <c r="P101" s="9" t="s">
        <v>2527</v>
      </c>
      <c r="Q101" t="s">
        <v>2825</v>
      </c>
    </row>
    <row r="102" spans="1:17" x14ac:dyDescent="0.3">
      <c r="A102" s="7">
        <v>45957</v>
      </c>
      <c r="B102" s="7">
        <v>45959</v>
      </c>
      <c r="C102" t="s">
        <v>30</v>
      </c>
      <c r="D102" t="s">
        <v>349</v>
      </c>
      <c r="E102" t="s">
        <v>40</v>
      </c>
      <c r="F102">
        <v>431758925</v>
      </c>
      <c r="G102">
        <v>803353517</v>
      </c>
      <c r="H102">
        <v>44122</v>
      </c>
      <c r="I102">
        <v>44255</v>
      </c>
      <c r="J102">
        <f>Table1345678910111213234567891011[[#This Row],[LOADED LITRES]]-Table1345678910111213234567891011[[#This Row],[Offloading Litres]]</f>
        <v>-133</v>
      </c>
      <c r="K102" t="s">
        <v>25</v>
      </c>
      <c r="L102">
        <v>76368671</v>
      </c>
      <c r="M102" t="s">
        <v>2638</v>
      </c>
      <c r="N102">
        <v>0.74299999999999999</v>
      </c>
      <c r="O102" s="8">
        <f>Table1345678910111213234567891011[[#This Row],[Offloading Litres]]*Table1345678910111213234567891011[[#This Row],[Rate]]</f>
        <v>32881.464999999997</v>
      </c>
      <c r="P102" s="9" t="s">
        <v>2555</v>
      </c>
      <c r="Q102" t="s">
        <v>2863</v>
      </c>
    </row>
    <row r="103" spans="1:17" x14ac:dyDescent="0.3">
      <c r="A103" s="7">
        <v>45958</v>
      </c>
      <c r="B103" s="7">
        <v>45960</v>
      </c>
      <c r="C103" t="s">
        <v>103</v>
      </c>
      <c r="D103" t="s">
        <v>47</v>
      </c>
      <c r="E103" t="s">
        <v>40</v>
      </c>
      <c r="F103">
        <v>431758531</v>
      </c>
      <c r="G103">
        <v>803358289</v>
      </c>
      <c r="H103">
        <v>39295</v>
      </c>
      <c r="I103">
        <v>39453</v>
      </c>
      <c r="J103">
        <f>Table1345678910111213234567891011[[#This Row],[LOADED LITRES]]-Table1345678910111213234567891011[[#This Row],[Offloading Litres]]</f>
        <v>-158</v>
      </c>
      <c r="K103" t="s">
        <v>32</v>
      </c>
      <c r="L103">
        <v>76373074</v>
      </c>
      <c r="M103" t="s">
        <v>2639</v>
      </c>
      <c r="N103">
        <v>0.74299999999999999</v>
      </c>
      <c r="O103" s="8">
        <f>Table1345678910111213234567891011[[#This Row],[Offloading Litres]]*Table1345678910111213234567891011[[#This Row],[Rate]]</f>
        <v>29313.579000000002</v>
      </c>
      <c r="P103" s="9" t="s">
        <v>2612</v>
      </c>
      <c r="Q103" t="s">
        <v>2862</v>
      </c>
    </row>
    <row r="104" spans="1:17" x14ac:dyDescent="0.3">
      <c r="A104" s="7">
        <v>45958</v>
      </c>
      <c r="B104" s="7">
        <v>45959</v>
      </c>
      <c r="C104" t="s">
        <v>2421</v>
      </c>
      <c r="D104" t="s">
        <v>24</v>
      </c>
      <c r="E104" t="s">
        <v>16</v>
      </c>
      <c r="F104">
        <v>431814029</v>
      </c>
      <c r="G104">
        <v>803358540</v>
      </c>
      <c r="H104">
        <v>39606</v>
      </c>
      <c r="I104">
        <v>39667</v>
      </c>
      <c r="J104">
        <f>Table1345678910111213234567891011[[#This Row],[LOADED LITRES]]-Table1345678910111213234567891011[[#This Row],[Offloading Litres]]</f>
        <v>-61</v>
      </c>
      <c r="K104" t="s">
        <v>32</v>
      </c>
      <c r="L104">
        <v>76373365</v>
      </c>
      <c r="M104" t="s">
        <v>2640</v>
      </c>
      <c r="N104">
        <v>0.68720000000000003</v>
      </c>
      <c r="O104" s="8">
        <f>Table1345678910111213234567891011[[#This Row],[Offloading Litres]]*Table1345678910111213234567891011[[#This Row],[Rate]]</f>
        <v>27259.162400000001</v>
      </c>
      <c r="P104" s="9" t="s">
        <v>2556</v>
      </c>
      <c r="Q104" t="s">
        <v>2861</v>
      </c>
    </row>
    <row r="105" spans="1:17" x14ac:dyDescent="0.3">
      <c r="A105" s="7">
        <v>45959</v>
      </c>
      <c r="B105" s="7">
        <v>45960</v>
      </c>
      <c r="C105" t="s">
        <v>1794</v>
      </c>
      <c r="D105" t="s">
        <v>35</v>
      </c>
      <c r="E105" t="s">
        <v>40</v>
      </c>
      <c r="F105">
        <v>431758926</v>
      </c>
      <c r="G105">
        <v>803361638</v>
      </c>
      <c r="H105">
        <v>44557</v>
      </c>
      <c r="I105">
        <v>44469</v>
      </c>
      <c r="J105">
        <f>Table1345678910111213234567891011[[#This Row],[LOADED LITRES]]-Table1345678910111213234567891011[[#This Row],[Offloading Litres]]</f>
        <v>88</v>
      </c>
      <c r="K105" t="s">
        <v>25</v>
      </c>
      <c r="L105">
        <v>76376280</v>
      </c>
      <c r="M105" t="s">
        <v>2641</v>
      </c>
      <c r="N105">
        <v>0.74299999999999999</v>
      </c>
      <c r="O105" s="8">
        <f>Table1345678910111213234567891011[[#This Row],[Offloading Litres]]*Table1345678910111213234567891011[[#This Row],[Rate]]</f>
        <v>33040.466999999997</v>
      </c>
      <c r="P105" s="9" t="s">
        <v>2617</v>
      </c>
      <c r="Q105" t="s">
        <v>2860</v>
      </c>
    </row>
    <row r="106" spans="1:17" x14ac:dyDescent="0.3">
      <c r="A106" s="7">
        <v>45959</v>
      </c>
      <c r="B106" s="7">
        <v>45960</v>
      </c>
      <c r="C106" t="s">
        <v>17</v>
      </c>
      <c r="D106" t="s">
        <v>15</v>
      </c>
      <c r="E106" t="s">
        <v>16</v>
      </c>
      <c r="F106">
        <v>431814040</v>
      </c>
      <c r="G106">
        <v>803361923</v>
      </c>
      <c r="H106">
        <v>43946</v>
      </c>
      <c r="I106">
        <v>44005</v>
      </c>
      <c r="J106">
        <f>Table1345678910111213234567891011[[#This Row],[LOADED LITRES]]-Table1345678910111213234567891011[[#This Row],[Offloading Litres]]</f>
        <v>-59</v>
      </c>
      <c r="K106" t="s">
        <v>25</v>
      </c>
      <c r="L106">
        <v>76376515</v>
      </c>
      <c r="M106" t="s">
        <v>2642</v>
      </c>
      <c r="N106">
        <v>0.68720000000000003</v>
      </c>
      <c r="O106" s="8">
        <f>Table1345678910111213234567891011[[#This Row],[Offloading Litres]]*Table1345678910111213234567891011[[#This Row],[Rate]]</f>
        <v>30240.236000000001</v>
      </c>
      <c r="P106" s="9" t="s">
        <v>2618</v>
      </c>
      <c r="Q106" t="s">
        <v>2855</v>
      </c>
    </row>
    <row r="107" spans="1:17" x14ac:dyDescent="0.3">
      <c r="A107" s="7">
        <v>45959</v>
      </c>
      <c r="B107" s="7">
        <v>45960</v>
      </c>
      <c r="C107" t="s">
        <v>34</v>
      </c>
      <c r="D107" t="s">
        <v>26</v>
      </c>
      <c r="E107" t="s">
        <v>16</v>
      </c>
      <c r="F107">
        <v>431814044</v>
      </c>
      <c r="G107">
        <v>803363548</v>
      </c>
      <c r="H107">
        <v>38817</v>
      </c>
      <c r="I107">
        <v>38904</v>
      </c>
      <c r="J107">
        <f>Table1345678910111213234567891011[[#This Row],[LOADED LITRES]]-Table1345678910111213234567891011[[#This Row],[Offloading Litres]]</f>
        <v>-87</v>
      </c>
      <c r="K107" t="s">
        <v>32</v>
      </c>
      <c r="L107">
        <v>76378129</v>
      </c>
      <c r="M107" t="s">
        <v>2643</v>
      </c>
      <c r="N107">
        <v>0.68720000000000003</v>
      </c>
      <c r="O107" s="8">
        <f>Table1345678910111213234567891011[[#This Row],[Offloading Litres]]*Table1345678910111213234567891011[[#This Row],[Rate]]</f>
        <v>26734.828800000003</v>
      </c>
      <c r="P107" s="9" t="s">
        <v>2619</v>
      </c>
      <c r="Q107" t="s">
        <v>2859</v>
      </c>
    </row>
    <row r="108" spans="1:17" x14ac:dyDescent="0.3">
      <c r="A108" s="7">
        <v>45959</v>
      </c>
      <c r="B108" s="7">
        <v>45961</v>
      </c>
      <c r="C108" t="s">
        <v>22</v>
      </c>
      <c r="D108" t="s">
        <v>624</v>
      </c>
      <c r="E108" t="s">
        <v>40</v>
      </c>
      <c r="F108">
        <v>431758944</v>
      </c>
      <c r="G108">
        <v>803364492</v>
      </c>
      <c r="H108">
        <v>44155</v>
      </c>
      <c r="I108">
        <v>44036</v>
      </c>
      <c r="J108">
        <f>Table1345678910111213234567891011[[#This Row],[LOADED LITRES]]-Table1345678910111213234567891011[[#This Row],[Offloading Litres]]</f>
        <v>119</v>
      </c>
      <c r="K108" t="s">
        <v>25</v>
      </c>
      <c r="L108">
        <v>76378488</v>
      </c>
      <c r="M108" t="s">
        <v>2644</v>
      </c>
      <c r="N108">
        <v>0.74299999999999999</v>
      </c>
      <c r="O108" s="8">
        <f>Table1345678910111213234567891011[[#This Row],[Offloading Litres]]*Table1345678910111213234567891011[[#This Row],[Rate]]</f>
        <v>32718.748</v>
      </c>
      <c r="P108" s="9" t="s">
        <v>2620</v>
      </c>
      <c r="Q108" t="s">
        <v>2858</v>
      </c>
    </row>
    <row r="109" spans="1:17" x14ac:dyDescent="0.3">
      <c r="A109" s="7">
        <v>45960</v>
      </c>
      <c r="B109" s="7">
        <v>45961</v>
      </c>
      <c r="C109" t="s">
        <v>23</v>
      </c>
      <c r="D109" t="s">
        <v>287</v>
      </c>
      <c r="E109" t="s">
        <v>40</v>
      </c>
      <c r="F109">
        <v>431758945</v>
      </c>
      <c r="G109">
        <v>803365166</v>
      </c>
      <c r="H109">
        <v>44021</v>
      </c>
      <c r="I109">
        <v>43919</v>
      </c>
      <c r="J109">
        <f>Table1345678910111213234567891011[[#This Row],[LOADED LITRES]]-Table1345678910111213234567891011[[#This Row],[Offloading Litres]]</f>
        <v>102</v>
      </c>
      <c r="K109" t="s">
        <v>25</v>
      </c>
      <c r="L109">
        <v>76378546</v>
      </c>
      <c r="M109" t="s">
        <v>2645</v>
      </c>
      <c r="N109">
        <v>0.74299999999999999</v>
      </c>
      <c r="O109" s="8">
        <f>Table1345678910111213234567891011[[#This Row],[Offloading Litres]]*Table1345678910111213234567891011[[#This Row],[Rate]]</f>
        <v>32631.816999999999</v>
      </c>
      <c r="P109" s="9" t="s">
        <v>2621</v>
      </c>
      <c r="Q109" t="s">
        <v>2857</v>
      </c>
    </row>
    <row r="110" spans="1:17" x14ac:dyDescent="0.3">
      <c r="A110" s="7">
        <v>45960</v>
      </c>
      <c r="B110" s="7">
        <v>45962</v>
      </c>
      <c r="C110" t="s">
        <v>30</v>
      </c>
      <c r="D110" t="s">
        <v>349</v>
      </c>
      <c r="E110" t="s">
        <v>40</v>
      </c>
      <c r="F110">
        <v>431758946</v>
      </c>
      <c r="G110">
        <v>803370834</v>
      </c>
      <c r="H110">
        <v>44062</v>
      </c>
      <c r="I110">
        <v>44204</v>
      </c>
      <c r="J110">
        <f>Table1345678910111213234567891011[[#This Row],[LOADED LITRES]]-Table1345678910111213234567891011[[#This Row],[Offloading Litres]]</f>
        <v>-142</v>
      </c>
      <c r="K110" t="s">
        <v>25</v>
      </c>
      <c r="L110">
        <v>76383471</v>
      </c>
      <c r="M110" t="s">
        <v>2646</v>
      </c>
      <c r="N110">
        <v>0.74299999999999999</v>
      </c>
      <c r="O110" s="8">
        <f>Table1345678910111213234567891011[[#This Row],[Offloading Litres]]*Table1345678910111213234567891011[[#This Row],[Rate]]</f>
        <v>32843.572</v>
      </c>
      <c r="P110" s="9" t="s">
        <v>2622</v>
      </c>
      <c r="Q110" t="s">
        <v>2852</v>
      </c>
    </row>
    <row r="111" spans="1:17" x14ac:dyDescent="0.3">
      <c r="A111" s="7">
        <v>45961</v>
      </c>
      <c r="B111" s="7">
        <v>45962</v>
      </c>
      <c r="C111" t="s">
        <v>2421</v>
      </c>
      <c r="D111" t="s">
        <v>19</v>
      </c>
      <c r="E111" t="s">
        <v>40</v>
      </c>
      <c r="F111">
        <v>431758532</v>
      </c>
      <c r="G111">
        <v>803371077</v>
      </c>
      <c r="H111">
        <v>39647</v>
      </c>
      <c r="I111">
        <v>39789</v>
      </c>
      <c r="J111">
        <f>Table1345678910111213234567891011[[#This Row],[LOADED LITRES]]-Table1345678910111213234567891011[[#This Row],[Offloading Litres]]</f>
        <v>-142</v>
      </c>
      <c r="K111" t="s">
        <v>32</v>
      </c>
      <c r="L111">
        <v>76383724</v>
      </c>
      <c r="M111" t="s">
        <v>2647</v>
      </c>
      <c r="N111">
        <v>0.74299999999999999</v>
      </c>
      <c r="O111" s="8">
        <f>Table1345678910111213234567891011[[#This Row],[Offloading Litres]]*Table1345678910111213234567891011[[#This Row],[Rate]]</f>
        <v>29563.226999999999</v>
      </c>
      <c r="P111" s="9" t="s">
        <v>2623</v>
      </c>
      <c r="Q111" t="s">
        <v>2848</v>
      </c>
    </row>
    <row r="112" spans="1:17" x14ac:dyDescent="0.3">
      <c r="A112" s="7">
        <v>45961</v>
      </c>
      <c r="B112" s="7">
        <v>45962</v>
      </c>
      <c r="C112" t="s">
        <v>103</v>
      </c>
      <c r="D112" t="s">
        <v>47</v>
      </c>
      <c r="E112" t="s">
        <v>40</v>
      </c>
      <c r="F112">
        <v>431758947</v>
      </c>
      <c r="G112">
        <v>803372026</v>
      </c>
      <c r="H112">
        <v>44144</v>
      </c>
      <c r="I112">
        <v>44684</v>
      </c>
      <c r="J112">
        <f>Table1345678910111213234567891011[[#This Row],[LOADED LITRES]]-Table1345678910111213234567891011[[#This Row],[Offloading Litres]]</f>
        <v>-540</v>
      </c>
      <c r="K112" t="s">
        <v>25</v>
      </c>
      <c r="L112">
        <v>76384662</v>
      </c>
      <c r="M112" t="s">
        <v>2648</v>
      </c>
      <c r="N112">
        <v>0.74299999999999999</v>
      </c>
      <c r="O112" s="8">
        <f>Table1345678910111213234567891011[[#This Row],[Offloading Litres]]*Table1345678910111213234567891011[[#This Row],[Rate]]</f>
        <v>33200.212</v>
      </c>
      <c r="P112" s="9" t="s">
        <v>2624</v>
      </c>
      <c r="Q112" t="s">
        <v>2849</v>
      </c>
    </row>
    <row r="113" spans="1:20" x14ac:dyDescent="0.3">
      <c r="A113" s="7">
        <v>45961</v>
      </c>
      <c r="B113" s="7">
        <v>45963</v>
      </c>
      <c r="C113" t="s">
        <v>1794</v>
      </c>
      <c r="D113" t="s">
        <v>35</v>
      </c>
      <c r="E113" t="s">
        <v>40</v>
      </c>
      <c r="F113">
        <v>431758961</v>
      </c>
      <c r="G113">
        <v>803376092</v>
      </c>
      <c r="H113">
        <v>44563</v>
      </c>
      <c r="I113">
        <v>44801</v>
      </c>
      <c r="J113">
        <f>Table1345678910111213234567891011[[#This Row],[LOADED LITRES]]-Table1345678910111213234567891011[[#This Row],[Offloading Litres]]</f>
        <v>-238</v>
      </c>
      <c r="K113" t="s">
        <v>25</v>
      </c>
      <c r="L113">
        <v>76388394</v>
      </c>
      <c r="M113" t="s">
        <v>2853</v>
      </c>
      <c r="N113">
        <v>0.74299999999999999</v>
      </c>
      <c r="O113" s="8">
        <f>Table1345678910111213234567891011[[#This Row],[Offloading Litres]]*Table1345678910111213234567891011[[#This Row],[Rate]]</f>
        <v>33287.142999999996</v>
      </c>
      <c r="P113" s="9" t="s">
        <v>2850</v>
      </c>
      <c r="Q113" t="s">
        <v>2851</v>
      </c>
    </row>
    <row r="114" spans="1:20" x14ac:dyDescent="0.3">
      <c r="A114" s="7"/>
      <c r="B114" s="7"/>
      <c r="J114">
        <f>Table1345678910111213234567891011[[#This Row],[LOADED LITRES]]-Table1345678910111213234567891011[[#This Row],[Offloading Litres]]</f>
        <v>0</v>
      </c>
      <c r="O114" s="8">
        <f>Table1345678910111213234567891011[[#This Row],[Offloading Litres]]*Table1345678910111213234567891011[[#This Row],[Rate]]</f>
        <v>0</v>
      </c>
      <c r="P114" s="9"/>
    </row>
    <row r="115" spans="1:20" x14ac:dyDescent="0.3">
      <c r="A115" s="19">
        <v>45937</v>
      </c>
      <c r="B115" s="19">
        <v>45938</v>
      </c>
      <c r="C115" s="15" t="s">
        <v>23</v>
      </c>
      <c r="D115" s="15" t="s">
        <v>287</v>
      </c>
      <c r="E115" s="15" t="s">
        <v>1389</v>
      </c>
      <c r="F115" s="15">
        <v>431203323</v>
      </c>
      <c r="G115" s="15">
        <v>803270361</v>
      </c>
      <c r="H115" s="15">
        <v>40905</v>
      </c>
      <c r="I115" s="15">
        <v>41054</v>
      </c>
      <c r="J115" s="15">
        <f>Table1345678910111213234567891011[[#This Row],[LOADED LITRES]]-Table1345678910111213234567891011[[#This Row],[Offloading Litres]]</f>
        <v>-149</v>
      </c>
      <c r="K115" s="15" t="s">
        <v>236</v>
      </c>
      <c r="L115" s="17" t="s">
        <v>2688</v>
      </c>
      <c r="M115" t="s">
        <v>2865</v>
      </c>
      <c r="N115" s="15">
        <v>0.62119999999999997</v>
      </c>
      <c r="O115" s="21">
        <f>Table1345678910111213234567891011[[#This Row],[Offloading Litres]]*Table1345678910111213234567891011[[#This Row],[Rate]]</f>
        <v>25502.7448</v>
      </c>
      <c r="P115" s="16" t="s">
        <v>2450</v>
      </c>
      <c r="Q115" s="15" t="s">
        <v>2761</v>
      </c>
      <c r="R115" s="15"/>
      <c r="S115" s="15"/>
      <c r="T115" s="15"/>
    </row>
    <row r="116" spans="1:20" x14ac:dyDescent="0.3">
      <c r="A116" s="19">
        <v>45942</v>
      </c>
      <c r="B116" s="19">
        <v>45943</v>
      </c>
      <c r="C116" s="15" t="s">
        <v>23</v>
      </c>
      <c r="D116" s="15" t="s">
        <v>287</v>
      </c>
      <c r="E116" s="15" t="s">
        <v>2449</v>
      </c>
      <c r="F116" s="15">
        <v>431314536</v>
      </c>
      <c r="G116" s="15">
        <v>803288486</v>
      </c>
      <c r="H116" s="15">
        <v>38782</v>
      </c>
      <c r="I116" s="15">
        <v>38977</v>
      </c>
      <c r="J116" s="15">
        <f>Table1345678910111213234567891011[[#This Row],[LOADED LITRES]]-Table1345678910111213234567891011[[#This Row],[Offloading Litres]]</f>
        <v>-195</v>
      </c>
      <c r="K116" s="15" t="s">
        <v>32</v>
      </c>
      <c r="L116" s="18" t="s">
        <v>2689</v>
      </c>
      <c r="M116" t="s">
        <v>2866</v>
      </c>
      <c r="N116" s="15">
        <v>0.56769999999999998</v>
      </c>
      <c r="O116" s="21">
        <f>Table1345678910111213234567891011[[#This Row],[Offloading Litres]]*Table1345678910111213234567891011[[#This Row],[Rate]]</f>
        <v>22127.242900000001</v>
      </c>
      <c r="P116" s="16" t="s">
        <v>2468</v>
      </c>
      <c r="Q116" s="15" t="s">
        <v>2786</v>
      </c>
      <c r="R116" s="15"/>
      <c r="S116" s="15"/>
      <c r="T116" s="15"/>
    </row>
    <row r="117" spans="1:20" x14ac:dyDescent="0.3">
      <c r="A117" s="19">
        <v>45951</v>
      </c>
      <c r="B117" s="19">
        <v>45953</v>
      </c>
      <c r="C117" s="15" t="s">
        <v>28</v>
      </c>
      <c r="D117" s="15" t="s">
        <v>2425</v>
      </c>
      <c r="E117" s="15" t="s">
        <v>2504</v>
      </c>
      <c r="F117" s="15">
        <v>431656785</v>
      </c>
      <c r="G117" s="15">
        <v>803327912</v>
      </c>
      <c r="H117" s="15">
        <v>39226</v>
      </c>
      <c r="I117" s="15"/>
      <c r="J117" s="15">
        <f>Table1345678910111213234567891011[[#This Row],[LOADED LITRES]]-Table1345678910111213234567891011[[#This Row],[Offloading Litres]]</f>
        <v>39226</v>
      </c>
      <c r="K117" s="15" t="s">
        <v>236</v>
      </c>
      <c r="L117" s="17" t="s">
        <v>2690</v>
      </c>
      <c r="M117" t="s">
        <v>2867</v>
      </c>
      <c r="N117" s="15">
        <v>0.67190000000000005</v>
      </c>
      <c r="O117" s="21">
        <f>Table1345678910111213234567891011[[#This Row],[Offloading Litres]]*Table1345678910111213234567891011[[#This Row],[Rate]]</f>
        <v>0</v>
      </c>
      <c r="P117" s="16" t="s">
        <v>2507</v>
      </c>
      <c r="Q117" s="15" t="s">
        <v>2812</v>
      </c>
      <c r="R117" s="15"/>
      <c r="S117" s="15"/>
      <c r="T117" s="15"/>
    </row>
    <row r="118" spans="1:20" x14ac:dyDescent="0.3">
      <c r="A118" s="19">
        <v>45931</v>
      </c>
      <c r="B118" s="19"/>
      <c r="C118" s="15" t="s">
        <v>2251</v>
      </c>
      <c r="D118" s="15" t="s">
        <v>2252</v>
      </c>
      <c r="E118" s="15" t="s">
        <v>2680</v>
      </c>
      <c r="F118" s="15">
        <v>430860816</v>
      </c>
      <c r="G118" s="15">
        <v>803245732</v>
      </c>
      <c r="H118" s="15">
        <v>39761</v>
      </c>
      <c r="I118" s="15"/>
      <c r="J118" s="15">
        <f>Table1345678910111213234567891011[[#This Row],[LOADED LITRES]]-Table1345678910111213234567891011[[#This Row],[Offloading Litres]]</f>
        <v>39761</v>
      </c>
      <c r="K118" s="15" t="s">
        <v>236</v>
      </c>
      <c r="L118" s="17" t="s">
        <v>2747</v>
      </c>
      <c r="M118" t="s">
        <v>2868</v>
      </c>
      <c r="N118" s="15">
        <v>0.69240000000000002</v>
      </c>
      <c r="O118" s="21">
        <f>Table1345678910111213234567891011[[#This Row],[Offloading Litres]]*Table1345678910111213234567891011[[#This Row],[Rate]]</f>
        <v>0</v>
      </c>
      <c r="P118" s="16" t="s">
        <v>2748</v>
      </c>
      <c r="Q118" s="15" t="s">
        <v>2819</v>
      </c>
      <c r="R118" s="15"/>
      <c r="S118" s="15"/>
      <c r="T118" s="15"/>
    </row>
    <row r="119" spans="1:20" x14ac:dyDescent="0.3">
      <c r="A119" s="7">
        <v>45931</v>
      </c>
      <c r="B119" s="7">
        <v>45931</v>
      </c>
      <c r="C119" t="s">
        <v>2227</v>
      </c>
      <c r="D119" t="s">
        <v>2228</v>
      </c>
      <c r="E119" t="s">
        <v>2449</v>
      </c>
      <c r="F119">
        <v>430855965</v>
      </c>
      <c r="G119">
        <v>803244149</v>
      </c>
      <c r="H119">
        <v>39775</v>
      </c>
      <c r="J119">
        <f>Table1345678910111213234567891011[[#This Row],[LOADED LITRES]]-Table1345678910111213234567891011[[#This Row],[Offloading Litres]]</f>
        <v>39775</v>
      </c>
      <c r="K119" t="s">
        <v>32</v>
      </c>
      <c r="L119" s="17" t="s">
        <v>2692</v>
      </c>
      <c r="M119" t="s">
        <v>2869</v>
      </c>
      <c r="N119">
        <v>0.56769999999999998</v>
      </c>
      <c r="O119" s="21">
        <f>Table1345678910111213234567891011[[#This Row],[Offloading Litres]]*Table1345678910111213234567891011[[#This Row],[Rate]]</f>
        <v>0</v>
      </c>
      <c r="P119" s="9" t="s">
        <v>2650</v>
      </c>
      <c r="Q119" t="s">
        <v>2750</v>
      </c>
    </row>
    <row r="120" spans="1:20" x14ac:dyDescent="0.3">
      <c r="A120" s="7">
        <v>45931</v>
      </c>
      <c r="B120" s="7">
        <v>45932</v>
      </c>
      <c r="C120" t="s">
        <v>2230</v>
      </c>
      <c r="D120" t="s">
        <v>2231</v>
      </c>
      <c r="E120" t="s">
        <v>2449</v>
      </c>
      <c r="F120">
        <v>430855984</v>
      </c>
      <c r="G120">
        <v>803245209</v>
      </c>
      <c r="H120">
        <v>39753</v>
      </c>
      <c r="J120">
        <f>Table1345678910111213234567891011[[#This Row],[LOADED LITRES]]-Table1345678910111213234567891011[[#This Row],[Offloading Litres]]</f>
        <v>39753</v>
      </c>
      <c r="K120" t="s">
        <v>32</v>
      </c>
      <c r="L120" s="17" t="s">
        <v>2691</v>
      </c>
      <c r="M120" t="s">
        <v>2870</v>
      </c>
      <c r="N120">
        <v>0.56769999999999998</v>
      </c>
      <c r="O120" s="21">
        <f>Table1345678910111213234567891011[[#This Row],[Offloading Litres]]*Table1345678910111213234567891011[[#This Row],[Rate]]</f>
        <v>0</v>
      </c>
      <c r="P120" s="9" t="s">
        <v>2651</v>
      </c>
      <c r="Q120" t="s">
        <v>2749</v>
      </c>
    </row>
    <row r="121" spans="1:20" x14ac:dyDescent="0.3">
      <c r="A121" s="7">
        <v>45932</v>
      </c>
      <c r="C121" t="s">
        <v>2233</v>
      </c>
      <c r="D121" t="s">
        <v>1591</v>
      </c>
      <c r="E121" t="s">
        <v>243</v>
      </c>
      <c r="F121">
        <v>430968455</v>
      </c>
      <c r="G121">
        <v>803247400</v>
      </c>
      <c r="H121">
        <v>39881</v>
      </c>
      <c r="J121">
        <f>Table1345678910111213234567891011[[#This Row],[LOADED LITRES]]-Table1345678910111213234567891011[[#This Row],[Offloading Litres]]</f>
        <v>39881</v>
      </c>
      <c r="K121" t="s">
        <v>32</v>
      </c>
      <c r="L121" s="17" t="s">
        <v>2693</v>
      </c>
      <c r="M121" t="s">
        <v>2871</v>
      </c>
      <c r="N121">
        <v>0.50409999999999999</v>
      </c>
      <c r="O121" s="21">
        <f>Table1345678910111213234567891011[[#This Row],[Offloading Litres]]*Table1345678910111213234567891011[[#This Row],[Rate]]</f>
        <v>0</v>
      </c>
      <c r="Q121" t="s">
        <v>2746</v>
      </c>
    </row>
    <row r="122" spans="1:20" x14ac:dyDescent="0.3">
      <c r="A122" s="7">
        <v>45933</v>
      </c>
      <c r="C122" t="s">
        <v>2230</v>
      </c>
      <c r="D122" t="s">
        <v>2231</v>
      </c>
      <c r="E122" t="s">
        <v>2652</v>
      </c>
      <c r="F122">
        <v>430988616</v>
      </c>
      <c r="G122">
        <v>823251854</v>
      </c>
      <c r="H122">
        <v>39901</v>
      </c>
      <c r="J122">
        <f>Table1345678910111213234567891011[[#This Row],[LOADED LITRES]]-Table1345678910111213234567891011[[#This Row],[Offloading Litres]]</f>
        <v>39901</v>
      </c>
      <c r="K122" t="s">
        <v>32</v>
      </c>
      <c r="L122" s="17" t="s">
        <v>2694</v>
      </c>
      <c r="M122" t="s">
        <v>2872</v>
      </c>
      <c r="N122">
        <v>0.56769999999999998</v>
      </c>
      <c r="O122" s="21">
        <f>Table1345678910111213234567891011[[#This Row],[Offloading Litres]]*Table1345678910111213234567891011[[#This Row],[Rate]]</f>
        <v>0</v>
      </c>
      <c r="P122" s="9" t="s">
        <v>2653</v>
      </c>
      <c r="Q122" t="s">
        <v>2745</v>
      </c>
    </row>
    <row r="123" spans="1:20" x14ac:dyDescent="0.3">
      <c r="A123" s="7">
        <v>45933</v>
      </c>
      <c r="B123" s="7">
        <v>45933</v>
      </c>
      <c r="C123" t="s">
        <v>2227</v>
      </c>
      <c r="D123" t="s">
        <v>2228</v>
      </c>
      <c r="E123" t="s">
        <v>2449</v>
      </c>
      <c r="F123">
        <v>430988622</v>
      </c>
      <c r="G123">
        <v>803251787</v>
      </c>
      <c r="H123">
        <v>39910</v>
      </c>
      <c r="J123">
        <f>Table1345678910111213234567891011[[#This Row],[LOADED LITRES]]-Table1345678910111213234567891011[[#This Row],[Offloading Litres]]</f>
        <v>39910</v>
      </c>
      <c r="K123" t="s">
        <v>32</v>
      </c>
      <c r="L123" s="17" t="s">
        <v>2695</v>
      </c>
      <c r="M123" t="s">
        <v>2873</v>
      </c>
      <c r="N123">
        <v>0.56769999999999998</v>
      </c>
      <c r="O123" s="21">
        <f>Table1345678910111213234567891011[[#This Row],[Offloading Litres]]*Table1345678910111213234567891011[[#This Row],[Rate]]</f>
        <v>0</v>
      </c>
      <c r="P123" s="9" t="s">
        <v>2654</v>
      </c>
      <c r="Q123" t="s">
        <v>2820</v>
      </c>
    </row>
    <row r="124" spans="1:20" x14ac:dyDescent="0.3">
      <c r="A124" s="7">
        <v>45934</v>
      </c>
      <c r="B124" s="7">
        <v>45936</v>
      </c>
      <c r="C124" t="s">
        <v>2655</v>
      </c>
      <c r="D124" t="s">
        <v>2656</v>
      </c>
      <c r="E124" t="s">
        <v>2657</v>
      </c>
      <c r="F124">
        <v>431028466</v>
      </c>
      <c r="G124">
        <v>803258621</v>
      </c>
      <c r="H124">
        <v>39911</v>
      </c>
      <c r="J124">
        <f>Table1345678910111213234567891011[[#This Row],[LOADED LITRES]]-Table1345678910111213234567891011[[#This Row],[Offloading Litres]]</f>
        <v>39911</v>
      </c>
      <c r="K124" t="s">
        <v>32</v>
      </c>
      <c r="L124" t="s">
        <v>2706</v>
      </c>
      <c r="M124" t="s">
        <v>2874</v>
      </c>
      <c r="N124">
        <v>0.79</v>
      </c>
      <c r="O124" s="21">
        <f>Table1345678910111213234567891011[[#This Row],[Offloading Litres]]*Table1345678910111213234567891011[[#This Row],[Rate]]</f>
        <v>0</v>
      </c>
      <c r="P124" s="9" t="s">
        <v>2658</v>
      </c>
      <c r="Q124" t="s">
        <v>2742</v>
      </c>
    </row>
    <row r="125" spans="1:20" x14ac:dyDescent="0.3">
      <c r="A125" s="7">
        <v>45937</v>
      </c>
      <c r="C125" t="s">
        <v>2233</v>
      </c>
      <c r="D125" t="s">
        <v>1591</v>
      </c>
      <c r="E125" t="s">
        <v>2449</v>
      </c>
      <c r="F125">
        <v>431088017</v>
      </c>
      <c r="G125">
        <v>803266131</v>
      </c>
      <c r="H125">
        <v>39887</v>
      </c>
      <c r="J125">
        <f>Table1345678910111213234567891011[[#This Row],[LOADED LITRES]]-Table1345678910111213234567891011[[#This Row],[Offloading Litres]]</f>
        <v>39887</v>
      </c>
      <c r="K125" t="s">
        <v>32</v>
      </c>
      <c r="L125" s="17" t="s">
        <v>2696</v>
      </c>
      <c r="M125" t="s">
        <v>2875</v>
      </c>
      <c r="N125">
        <v>0.56769999999999998</v>
      </c>
      <c r="O125" s="21">
        <f>Table1345678910111213234567891011[[#This Row],[Offloading Litres]]*Table1345678910111213234567891011[[#This Row],[Rate]]</f>
        <v>0</v>
      </c>
      <c r="Q125" t="s">
        <v>2762</v>
      </c>
    </row>
    <row r="126" spans="1:20" x14ac:dyDescent="0.3">
      <c r="A126" s="7">
        <v>45936</v>
      </c>
      <c r="B126" s="7">
        <v>45937</v>
      </c>
      <c r="C126" t="s">
        <v>1593</v>
      </c>
      <c r="D126" t="s">
        <v>2660</v>
      </c>
      <c r="E126" t="s">
        <v>2449</v>
      </c>
      <c r="F126">
        <v>431173871</v>
      </c>
      <c r="G126">
        <v>803264179</v>
      </c>
      <c r="H126">
        <v>38883</v>
      </c>
      <c r="J126">
        <f>Table1345678910111213234567891011[[#This Row],[LOADED LITRES]]-Table1345678910111213234567891011[[#This Row],[Offloading Litres]]</f>
        <v>38883</v>
      </c>
      <c r="K126" t="s">
        <v>32</v>
      </c>
      <c r="L126" s="17" t="s">
        <v>2697</v>
      </c>
      <c r="M126" t="s">
        <v>2876</v>
      </c>
      <c r="N126">
        <v>0.56769999999999998</v>
      </c>
      <c r="O126" s="21">
        <f>Table1345678910111213234567891011[[#This Row],[Offloading Litres]]*Table1345678910111213234567891011[[#This Row],[Rate]]</f>
        <v>0</v>
      </c>
      <c r="P126" s="9" t="s">
        <v>2661</v>
      </c>
      <c r="Q126" t="s">
        <v>2764</v>
      </c>
    </row>
    <row r="127" spans="1:20" x14ac:dyDescent="0.3">
      <c r="A127" s="7">
        <v>45937</v>
      </c>
      <c r="B127" s="7">
        <v>45938</v>
      </c>
      <c r="C127" t="s">
        <v>1596</v>
      </c>
      <c r="D127" t="s">
        <v>2662</v>
      </c>
      <c r="E127" t="s">
        <v>2449</v>
      </c>
      <c r="F127">
        <v>431199922</v>
      </c>
      <c r="G127">
        <v>803270482</v>
      </c>
      <c r="H127">
        <v>39835</v>
      </c>
      <c r="J127">
        <f>Table1345678910111213234567891011[[#This Row],[LOADED LITRES]]-Table1345678910111213234567891011[[#This Row],[Offloading Litres]]</f>
        <v>39835</v>
      </c>
      <c r="K127" t="s">
        <v>32</v>
      </c>
      <c r="L127" s="17" t="s">
        <v>2698</v>
      </c>
      <c r="M127" t="s">
        <v>2877</v>
      </c>
      <c r="N127">
        <v>0.56769999999999998</v>
      </c>
      <c r="O127" s="21">
        <f>Table1345678910111213234567891011[[#This Row],[Offloading Litres]]*Table1345678910111213234567891011[[#This Row],[Rate]]</f>
        <v>0</v>
      </c>
      <c r="P127" s="9" t="s">
        <v>2663</v>
      </c>
    </row>
    <row r="128" spans="1:20" x14ac:dyDescent="0.3">
      <c r="A128" s="7">
        <v>45937</v>
      </c>
      <c r="B128" s="7">
        <v>45939</v>
      </c>
      <c r="C128" t="s">
        <v>2664</v>
      </c>
      <c r="D128" t="s">
        <v>2665</v>
      </c>
      <c r="E128" t="s">
        <v>2449</v>
      </c>
      <c r="F128">
        <v>431199935</v>
      </c>
      <c r="G128">
        <v>803270494</v>
      </c>
      <c r="H128">
        <v>39330</v>
      </c>
      <c r="J128">
        <f>Table1345678910111213234567891011[[#This Row],[LOADED LITRES]]-Table1345678910111213234567891011[[#This Row],[Offloading Litres]]</f>
        <v>39330</v>
      </c>
      <c r="K128" t="s">
        <v>32</v>
      </c>
      <c r="L128" s="17" t="s">
        <v>2878</v>
      </c>
      <c r="M128" t="s">
        <v>2879</v>
      </c>
      <c r="N128">
        <v>0.56769999999999998</v>
      </c>
      <c r="O128" s="21">
        <f>Table1345678910111213234567891011[[#This Row],[Offloading Litres]]*Table1345678910111213234567891011[[#This Row],[Rate]]</f>
        <v>0</v>
      </c>
      <c r="P128" s="9" t="s">
        <v>2666</v>
      </c>
      <c r="Q128" t="s">
        <v>2766</v>
      </c>
    </row>
    <row r="129" spans="1:17" x14ac:dyDescent="0.3">
      <c r="A129" s="7">
        <v>45937</v>
      </c>
      <c r="B129" s="7">
        <v>45938</v>
      </c>
      <c r="C129" t="s">
        <v>2667</v>
      </c>
      <c r="D129" t="s">
        <v>2668</v>
      </c>
      <c r="E129" t="s">
        <v>248</v>
      </c>
      <c r="F129">
        <v>431208442</v>
      </c>
      <c r="G129">
        <v>803270546</v>
      </c>
      <c r="H129">
        <v>39832</v>
      </c>
      <c r="J129">
        <f>Table1345678910111213234567891011[[#This Row],[LOADED LITRES]]-Table1345678910111213234567891011[[#This Row],[Offloading Litres]]</f>
        <v>39832</v>
      </c>
      <c r="K129" t="s">
        <v>32</v>
      </c>
      <c r="L129" s="17" t="s">
        <v>2699</v>
      </c>
      <c r="M129" t="s">
        <v>2880</v>
      </c>
      <c r="N129">
        <v>0.72289999999999999</v>
      </c>
      <c r="O129" s="21">
        <f>Table1345678910111213234567891011[[#This Row],[Offloading Litres]]*Table1345678910111213234567891011[[#This Row],[Rate]]</f>
        <v>0</v>
      </c>
      <c r="P129" s="9" t="s">
        <v>2669</v>
      </c>
      <c r="Q129" t="s">
        <v>2763</v>
      </c>
    </row>
    <row r="130" spans="1:17" x14ac:dyDescent="0.3">
      <c r="A130" s="7">
        <v>45939</v>
      </c>
      <c r="C130" t="s">
        <v>2235</v>
      </c>
      <c r="D130" t="s">
        <v>2670</v>
      </c>
      <c r="E130" t="s">
        <v>2449</v>
      </c>
      <c r="F130">
        <v>431274927</v>
      </c>
      <c r="G130">
        <v>803280020</v>
      </c>
      <c r="H130">
        <v>39834</v>
      </c>
      <c r="J130">
        <f>Table1345678910111213234567891011[[#This Row],[LOADED LITRES]]-Table1345678910111213234567891011[[#This Row],[Offloading Litres]]</f>
        <v>39834</v>
      </c>
      <c r="K130" t="s">
        <v>32</v>
      </c>
      <c r="L130" s="17" t="s">
        <v>2700</v>
      </c>
      <c r="M130" t="s">
        <v>2881</v>
      </c>
      <c r="N130">
        <v>0.56769999999999998</v>
      </c>
      <c r="O130" s="21">
        <f>Table1345678910111213234567891011[[#This Row],[Offloading Litres]]*Table1345678910111213234567891011[[#This Row],[Rate]]</f>
        <v>0</v>
      </c>
      <c r="P130" s="9" t="s">
        <v>2671</v>
      </c>
      <c r="Q130" t="s">
        <v>2753</v>
      </c>
    </row>
    <row r="131" spans="1:17" x14ac:dyDescent="0.3">
      <c r="A131" s="7">
        <v>45940</v>
      </c>
      <c r="C131" t="s">
        <v>2230</v>
      </c>
      <c r="D131" t="s">
        <v>2231</v>
      </c>
      <c r="E131" t="s">
        <v>2449</v>
      </c>
      <c r="F131">
        <v>431274939</v>
      </c>
      <c r="G131">
        <v>803282268</v>
      </c>
      <c r="H131">
        <v>39800</v>
      </c>
      <c r="J131">
        <f>Table1345678910111213234567891011[[#This Row],[LOADED LITRES]]-Table1345678910111213234567891011[[#This Row],[Offloading Litres]]</f>
        <v>39800</v>
      </c>
      <c r="K131" t="s">
        <v>32</v>
      </c>
      <c r="L131" s="17" t="s">
        <v>2701</v>
      </c>
      <c r="M131" t="s">
        <v>2882</v>
      </c>
      <c r="N131">
        <v>0.56769999999999998</v>
      </c>
      <c r="O131" s="21">
        <f>Table1345678910111213234567891011[[#This Row],[Offloading Litres]]*Table1345678910111213234567891011[[#This Row],[Rate]]</f>
        <v>0</v>
      </c>
      <c r="P131" s="9" t="s">
        <v>2672</v>
      </c>
      <c r="Q131" t="s">
        <v>2754</v>
      </c>
    </row>
    <row r="132" spans="1:17" x14ac:dyDescent="0.3">
      <c r="A132" s="7">
        <v>45944</v>
      </c>
      <c r="C132" t="s">
        <v>2233</v>
      </c>
      <c r="D132" t="s">
        <v>2659</v>
      </c>
      <c r="E132" t="s">
        <v>2449</v>
      </c>
      <c r="F132">
        <v>431400670</v>
      </c>
      <c r="G132">
        <v>803294047</v>
      </c>
      <c r="H132">
        <v>39792</v>
      </c>
      <c r="J132">
        <f>Table1345678910111213234567891011[[#This Row],[LOADED LITRES]]-Table1345678910111213234567891011[[#This Row],[Offloading Litres]]</f>
        <v>39792</v>
      </c>
      <c r="K132" t="s">
        <v>32</v>
      </c>
      <c r="L132" s="18" t="s">
        <v>2702</v>
      </c>
      <c r="M132" t="s">
        <v>2883</v>
      </c>
      <c r="N132">
        <v>0.56769999999999998</v>
      </c>
      <c r="O132" s="21">
        <f>Table1345678910111213234567891011[[#This Row],[Offloading Litres]]*Table1345678910111213234567891011[[#This Row],[Rate]]</f>
        <v>0</v>
      </c>
      <c r="Q132" t="s">
        <v>2778</v>
      </c>
    </row>
    <row r="133" spans="1:17" x14ac:dyDescent="0.3">
      <c r="A133" s="7">
        <v>45944</v>
      </c>
      <c r="C133" t="s">
        <v>2227</v>
      </c>
      <c r="D133" t="s">
        <v>2228</v>
      </c>
      <c r="E133" t="s">
        <v>2449</v>
      </c>
      <c r="F133">
        <v>431400685</v>
      </c>
      <c r="G133">
        <v>803294795</v>
      </c>
      <c r="H133">
        <v>39763</v>
      </c>
      <c r="J133">
        <f>Table1345678910111213234567891011[[#This Row],[LOADED LITRES]]-Table1345678910111213234567891011[[#This Row],[Offloading Litres]]</f>
        <v>39763</v>
      </c>
      <c r="K133" t="s">
        <v>32</v>
      </c>
      <c r="L133" s="17" t="s">
        <v>2703</v>
      </c>
      <c r="M133" t="s">
        <v>2884</v>
      </c>
      <c r="N133">
        <v>0.56769999999999998</v>
      </c>
      <c r="O133" s="21">
        <f>Table1345678910111213234567891011[[#This Row],[Offloading Litres]]*Table1345678910111213234567891011[[#This Row],[Rate]]</f>
        <v>0</v>
      </c>
      <c r="P133" s="9" t="s">
        <v>2673</v>
      </c>
      <c r="Q133" t="s">
        <v>2822</v>
      </c>
    </row>
    <row r="134" spans="1:17" x14ac:dyDescent="0.3">
      <c r="A134" s="7">
        <v>45944</v>
      </c>
      <c r="C134" t="s">
        <v>1588</v>
      </c>
      <c r="D134" t="s">
        <v>2674</v>
      </c>
      <c r="E134" t="s">
        <v>2449</v>
      </c>
      <c r="F134">
        <v>431409624</v>
      </c>
      <c r="G134">
        <v>803296656</v>
      </c>
      <c r="H134">
        <v>38695</v>
      </c>
      <c r="J134">
        <f>Table1345678910111213234567891011[[#This Row],[LOADED LITRES]]-Table1345678910111213234567891011[[#This Row],[Offloading Litres]]</f>
        <v>38695</v>
      </c>
      <c r="K134" t="s">
        <v>32</v>
      </c>
      <c r="L134" s="18" t="s">
        <v>2705</v>
      </c>
      <c r="M134" t="s">
        <v>2885</v>
      </c>
      <c r="N134">
        <v>0.56769999999999998</v>
      </c>
      <c r="O134" s="21">
        <f>Table1345678910111213234567891011[[#This Row],[Offloading Litres]]*Table1345678910111213234567891011[[#This Row],[Rate]]</f>
        <v>0</v>
      </c>
      <c r="P134" s="9" t="s">
        <v>2675</v>
      </c>
      <c r="Q134" t="s">
        <v>2780</v>
      </c>
    </row>
    <row r="135" spans="1:17" x14ac:dyDescent="0.3">
      <c r="A135" s="7">
        <v>45945</v>
      </c>
      <c r="C135" t="s">
        <v>2230</v>
      </c>
      <c r="D135" t="s">
        <v>2231</v>
      </c>
      <c r="E135" t="s">
        <v>2449</v>
      </c>
      <c r="F135">
        <v>431409613</v>
      </c>
      <c r="G135">
        <v>803299433</v>
      </c>
      <c r="H135">
        <v>39776</v>
      </c>
      <c r="J135">
        <f>Table1345678910111213234567891011[[#This Row],[LOADED LITRES]]-Table1345678910111213234567891011[[#This Row],[Offloading Litres]]</f>
        <v>39776</v>
      </c>
      <c r="K135" t="s">
        <v>32</v>
      </c>
      <c r="L135" s="18" t="s">
        <v>2704</v>
      </c>
      <c r="M135" t="s">
        <v>2886</v>
      </c>
      <c r="N135">
        <v>0.56769999999999998</v>
      </c>
      <c r="O135" s="21">
        <f>Table1345678910111213234567891011[[#This Row],[Offloading Litres]]*Table1345678910111213234567891011[[#This Row],[Rate]]</f>
        <v>0</v>
      </c>
      <c r="P135" s="9" t="s">
        <v>2676</v>
      </c>
      <c r="Q135" t="s">
        <v>2835</v>
      </c>
    </row>
    <row r="136" spans="1:17" x14ac:dyDescent="0.3">
      <c r="A136" s="7">
        <v>45947</v>
      </c>
      <c r="C136" t="s">
        <v>2664</v>
      </c>
      <c r="D136" t="s">
        <v>2665</v>
      </c>
      <c r="E136" t="s">
        <v>2449</v>
      </c>
      <c r="F136">
        <v>431523381</v>
      </c>
      <c r="G136">
        <v>803314345</v>
      </c>
      <c r="H136">
        <v>39329</v>
      </c>
      <c r="J136">
        <f>Table1345678910111213234567891011[[#This Row],[LOADED LITRES]]-Table1345678910111213234567891011[[#This Row],[Offloading Litres]]</f>
        <v>39329</v>
      </c>
      <c r="K136" t="s">
        <v>32</v>
      </c>
      <c r="L136" s="17" t="s">
        <v>2707</v>
      </c>
      <c r="M136" t="s">
        <v>2887</v>
      </c>
      <c r="N136">
        <v>0.56769999999999998</v>
      </c>
      <c r="O136" s="21">
        <f>Table1345678910111213234567891011[[#This Row],[Offloading Litres]]*Table1345678910111213234567891011[[#This Row],[Rate]]</f>
        <v>0</v>
      </c>
      <c r="P136" s="9" t="s">
        <v>2677</v>
      </c>
      <c r="Q136" t="s">
        <v>2821</v>
      </c>
    </row>
    <row r="137" spans="1:17" x14ac:dyDescent="0.3">
      <c r="A137" s="7">
        <v>45950</v>
      </c>
      <c r="C137" t="s">
        <v>1593</v>
      </c>
      <c r="D137" t="s">
        <v>1594</v>
      </c>
      <c r="E137" t="s">
        <v>2449</v>
      </c>
      <c r="F137">
        <v>431626270</v>
      </c>
      <c r="G137">
        <v>803322442</v>
      </c>
      <c r="H137">
        <v>39828</v>
      </c>
      <c r="J137">
        <f>Table1345678910111213234567891011[[#This Row],[LOADED LITRES]]-Table1345678910111213234567891011[[#This Row],[Offloading Litres]]</f>
        <v>39828</v>
      </c>
      <c r="K137" t="s">
        <v>32</v>
      </c>
      <c r="L137" s="18" t="s">
        <v>2708</v>
      </c>
      <c r="M137" t="s">
        <v>2888</v>
      </c>
      <c r="N137">
        <v>0.56769999999999998</v>
      </c>
      <c r="O137" s="21">
        <f>Table1345678910111213234567891011[[#This Row],[Offloading Litres]]*Table1345678910111213234567891011[[#This Row],[Rate]]</f>
        <v>0</v>
      </c>
      <c r="P137" s="9" t="s">
        <v>2678</v>
      </c>
      <c r="Q137" t="s">
        <v>2818</v>
      </c>
    </row>
    <row r="138" spans="1:17" x14ac:dyDescent="0.3">
      <c r="A138" s="7">
        <v>45951</v>
      </c>
      <c r="C138" t="s">
        <v>2216</v>
      </c>
      <c r="D138" t="s">
        <v>2679</v>
      </c>
      <c r="E138" t="s">
        <v>2680</v>
      </c>
      <c r="F138">
        <v>431655278</v>
      </c>
      <c r="G138">
        <v>803328064</v>
      </c>
      <c r="H138">
        <v>39821</v>
      </c>
      <c r="J138">
        <f>Table1345678910111213234567891011[[#This Row],[LOADED LITRES]]-Table1345678910111213234567891011[[#This Row],[Offloading Litres]]</f>
        <v>39821</v>
      </c>
      <c r="K138" t="s">
        <v>236</v>
      </c>
      <c r="L138" t="s">
        <v>2709</v>
      </c>
      <c r="M138" t="s">
        <v>2889</v>
      </c>
      <c r="N138">
        <v>0.69240000000000002</v>
      </c>
      <c r="O138" s="21">
        <f>Table1345678910111213234567891011[[#This Row],[Offloading Litres]]*Table1345678910111213234567891011[[#This Row],[Rate]]</f>
        <v>0</v>
      </c>
      <c r="P138" s="9" t="s">
        <v>2681</v>
      </c>
    </row>
    <row r="139" spans="1:17" x14ac:dyDescent="0.3">
      <c r="A139" s="7">
        <v>45952</v>
      </c>
      <c r="C139" t="s">
        <v>2233</v>
      </c>
      <c r="D139" t="s">
        <v>1591</v>
      </c>
      <c r="E139" t="s">
        <v>2449</v>
      </c>
      <c r="F139">
        <v>431657993</v>
      </c>
      <c r="G139">
        <v>803333125</v>
      </c>
      <c r="H139">
        <v>39811</v>
      </c>
      <c r="J139">
        <f>Table1345678910111213234567891011[[#This Row],[LOADED LITRES]]-Table1345678910111213234567891011[[#This Row],[Offloading Litres]]</f>
        <v>39811</v>
      </c>
      <c r="K139" t="s">
        <v>32</v>
      </c>
      <c r="L139" s="17" t="s">
        <v>2711</v>
      </c>
      <c r="M139" t="s">
        <v>2890</v>
      </c>
      <c r="N139">
        <v>0.56769999999999998</v>
      </c>
      <c r="O139" s="21">
        <f>Table1345678910111213234567891011[[#This Row],[Offloading Litres]]*Table1345678910111213234567891011[[#This Row],[Rate]]</f>
        <v>0</v>
      </c>
      <c r="P139" s="9" t="s">
        <v>2682</v>
      </c>
      <c r="Q139" t="s">
        <v>2817</v>
      </c>
    </row>
    <row r="140" spans="1:17" x14ac:dyDescent="0.3">
      <c r="A140" s="7">
        <v>45952</v>
      </c>
      <c r="C140" t="s">
        <v>2230</v>
      </c>
      <c r="D140" t="s">
        <v>2231</v>
      </c>
      <c r="E140" t="s">
        <v>2449</v>
      </c>
      <c r="F140">
        <v>431658001</v>
      </c>
      <c r="G140">
        <v>803333124</v>
      </c>
      <c r="H140">
        <v>39821</v>
      </c>
      <c r="J140">
        <f>Table1345678910111213234567891011[[#This Row],[LOADED LITRES]]-Table1345678910111213234567891011[[#This Row],[Offloading Litres]]</f>
        <v>39821</v>
      </c>
      <c r="K140" t="s">
        <v>32</v>
      </c>
      <c r="L140" s="17" t="s">
        <v>2710</v>
      </c>
      <c r="M140" t="s">
        <v>2891</v>
      </c>
      <c r="N140">
        <v>0.56769999999999998</v>
      </c>
      <c r="O140" s="21">
        <f>Table1345678910111213234567891011[[#This Row],[Offloading Litres]]*Table1345678910111213234567891011[[#This Row],[Rate]]</f>
        <v>0</v>
      </c>
      <c r="P140" s="9" t="s">
        <v>2683</v>
      </c>
      <c r="Q140" t="s">
        <v>2774</v>
      </c>
    </row>
    <row r="141" spans="1:17" x14ac:dyDescent="0.3">
      <c r="A141" s="7">
        <v>45954</v>
      </c>
      <c r="C141" t="s">
        <v>2230</v>
      </c>
      <c r="D141" t="s">
        <v>2231</v>
      </c>
      <c r="E141" t="s">
        <v>2449</v>
      </c>
      <c r="F141">
        <v>431753443</v>
      </c>
      <c r="G141">
        <v>803339553</v>
      </c>
      <c r="H141">
        <v>39818</v>
      </c>
      <c r="J141">
        <f>Table1345678910111213234567891011[[#This Row],[LOADED LITRES]]-Table1345678910111213234567891011[[#This Row],[Offloading Litres]]</f>
        <v>39818</v>
      </c>
      <c r="K141" t="s">
        <v>32</v>
      </c>
      <c r="L141" s="17" t="s">
        <v>2712</v>
      </c>
      <c r="M141" t="s">
        <v>2892</v>
      </c>
      <c r="N141">
        <v>0.56769999999999998</v>
      </c>
      <c r="O141" s="21">
        <f>Table1345678910111213234567891011[[#This Row],[Offloading Litres]]*Table1345678910111213234567891011[[#This Row],[Rate]]</f>
        <v>0</v>
      </c>
      <c r="P141" s="9" t="s">
        <v>2684</v>
      </c>
      <c r="Q141" t="s">
        <v>2824</v>
      </c>
    </row>
    <row r="142" spans="1:17" x14ac:dyDescent="0.3">
      <c r="A142" s="7">
        <v>45956</v>
      </c>
      <c r="C142" t="s">
        <v>2230</v>
      </c>
      <c r="D142" t="s">
        <v>2231</v>
      </c>
      <c r="E142" t="s">
        <v>2449</v>
      </c>
      <c r="F142">
        <v>431779871</v>
      </c>
      <c r="G142">
        <v>803346996</v>
      </c>
      <c r="H142">
        <v>39785</v>
      </c>
      <c r="J142">
        <f>Table1345678910111213234567891011[[#This Row],[LOADED LITRES]]-Table1345678910111213234567891011[[#This Row],[Offloading Litres]]</f>
        <v>39785</v>
      </c>
      <c r="K142" t="s">
        <v>32</v>
      </c>
      <c r="L142" s="17" t="s">
        <v>2713</v>
      </c>
      <c r="M142" t="s">
        <v>2893</v>
      </c>
      <c r="N142">
        <v>0.56769999999999998</v>
      </c>
      <c r="O142" s="21">
        <f>Table1345678910111213234567891011[[#This Row],[Offloading Litres]]*Table1345678910111213234567891011[[#This Row],[Rate]]</f>
        <v>0</v>
      </c>
      <c r="P142" s="9" t="s">
        <v>2685</v>
      </c>
      <c r="Q142" t="s">
        <v>2823</v>
      </c>
    </row>
    <row r="143" spans="1:17" x14ac:dyDescent="0.3">
      <c r="A143" s="7">
        <v>45956</v>
      </c>
      <c r="C143" t="s">
        <v>2667</v>
      </c>
      <c r="D143" t="s">
        <v>2668</v>
      </c>
      <c r="E143" t="s">
        <v>2449</v>
      </c>
      <c r="F143">
        <v>431779878</v>
      </c>
      <c r="G143">
        <v>803347011</v>
      </c>
      <c r="H143">
        <v>39774</v>
      </c>
      <c r="J143">
        <f>Table1345678910111213234567891011[[#This Row],[LOADED LITRES]]-Table1345678910111213234567891011[[#This Row],[Offloading Litres]]</f>
        <v>39774</v>
      </c>
      <c r="K143" t="s">
        <v>32</v>
      </c>
      <c r="L143" s="17" t="s">
        <v>2714</v>
      </c>
      <c r="M143" t="s">
        <v>2894</v>
      </c>
      <c r="N143">
        <v>0.56769999999999998</v>
      </c>
      <c r="O143" s="21">
        <f>Table1345678910111213234567891011[[#This Row],[Offloading Litres]]*Table1345678910111213234567891011[[#This Row],[Rate]]</f>
        <v>0</v>
      </c>
      <c r="P143" s="9" t="s">
        <v>2686</v>
      </c>
      <c r="Q143" t="s">
        <v>2847</v>
      </c>
    </row>
    <row r="144" spans="1:17" x14ac:dyDescent="0.3">
      <c r="A144" s="7">
        <v>45958</v>
      </c>
      <c r="C144" t="s">
        <v>1593</v>
      </c>
      <c r="D144" t="s">
        <v>1594</v>
      </c>
      <c r="E144" t="s">
        <v>2449</v>
      </c>
      <c r="F144">
        <v>431895982</v>
      </c>
      <c r="G144">
        <v>803355750</v>
      </c>
      <c r="H144">
        <v>39750</v>
      </c>
      <c r="J144">
        <f>Table1345678910111213234567891011[[#This Row],[LOADED LITRES]]-Table1345678910111213234567891011[[#This Row],[Offloading Litres]]</f>
        <v>39750</v>
      </c>
      <c r="K144" t="s">
        <v>32</v>
      </c>
      <c r="L144" s="17" t="s">
        <v>2715</v>
      </c>
      <c r="M144" t="s">
        <v>2895</v>
      </c>
      <c r="N144">
        <v>0.56769999999999998</v>
      </c>
      <c r="O144" s="21">
        <f>Table1345678910111213234567891011[[#This Row],[Offloading Litres]]*Table1345678910111213234567891011[[#This Row],[Rate]]</f>
        <v>0</v>
      </c>
      <c r="P144" s="9" t="s">
        <v>2687</v>
      </c>
      <c r="Q144" t="s">
        <v>2815</v>
      </c>
    </row>
  </sheetData>
  <phoneticPr fontId="2" type="noConversion"/>
  <conditionalFormatting sqref="F1:G1">
    <cfRule type="duplicateValues" dxfId="6" priority="1"/>
  </conditionalFormatting>
  <conditionalFormatting sqref="G1">
    <cfRule type="duplicateValues" dxfId="5" priority="2"/>
  </conditionalFormatting>
  <conditionalFormatting sqref="L1">
    <cfRule type="duplicateValues" dxfId="4" priority="3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1CE8-C677-4D6E-B170-67901F39F646}">
  <dimension ref="A1:T130"/>
  <sheetViews>
    <sheetView topLeftCell="D39" workbookViewId="0">
      <selection activeCell="P56" sqref="P56"/>
    </sheetView>
  </sheetViews>
  <sheetFormatPr defaultRowHeight="14.4" x14ac:dyDescent="0.3"/>
  <cols>
    <col min="1" max="2" width="13.33203125" customWidth="1"/>
    <col min="3" max="3" width="9.88671875" customWidth="1"/>
    <col min="4" max="4" width="25.44140625" customWidth="1"/>
    <col min="5" max="5" width="22.88671875" customWidth="1"/>
    <col min="6" max="6" width="20" bestFit="1" customWidth="1"/>
    <col min="7" max="9" width="13.33203125" customWidth="1"/>
    <col min="10" max="10" width="9" customWidth="1"/>
    <col min="11" max="11" width="9.21875" customWidth="1"/>
    <col min="12" max="12" width="11.44140625" customWidth="1"/>
    <col min="13" max="13" width="13.5546875" customWidth="1"/>
    <col min="14" max="14" width="9.44140625" customWidth="1"/>
    <col min="15" max="15" width="10.109375" style="8" customWidth="1"/>
    <col min="16" max="16" width="14.6640625" customWidth="1"/>
    <col min="17" max="17" width="10.6640625" customWidth="1"/>
    <col min="18" max="18" width="14.6640625" customWidth="1"/>
    <col min="19" max="19" width="9.33203125" customWidth="1"/>
  </cols>
  <sheetData>
    <row r="1" spans="1:20" ht="15" thickBot="1" x14ac:dyDescent="0.35">
      <c r="A1" s="37" t="s">
        <v>0</v>
      </c>
      <c r="B1" s="37" t="s">
        <v>1</v>
      </c>
      <c r="C1" s="38" t="s">
        <v>38</v>
      </c>
      <c r="D1" s="38" t="s">
        <v>2</v>
      </c>
      <c r="E1" s="38" t="s">
        <v>3</v>
      </c>
      <c r="F1" s="38" t="s">
        <v>37</v>
      </c>
      <c r="G1" s="38" t="s">
        <v>4</v>
      </c>
      <c r="H1" s="38" t="s">
        <v>36</v>
      </c>
      <c r="I1" s="38" t="s">
        <v>5</v>
      </c>
      <c r="J1" s="38" t="s">
        <v>6</v>
      </c>
      <c r="K1" s="38" t="s">
        <v>7</v>
      </c>
      <c r="L1" s="39" t="s">
        <v>8</v>
      </c>
      <c r="M1" s="38" t="s">
        <v>9</v>
      </c>
      <c r="N1" s="38" t="s">
        <v>10</v>
      </c>
      <c r="O1" s="40" t="s">
        <v>11</v>
      </c>
      <c r="P1" s="41" t="s">
        <v>12</v>
      </c>
      <c r="Q1" s="41" t="s">
        <v>18</v>
      </c>
      <c r="R1" s="38" t="s">
        <v>13</v>
      </c>
      <c r="S1" s="42" t="s">
        <v>20</v>
      </c>
      <c r="T1" s="42" t="s">
        <v>14</v>
      </c>
    </row>
    <row r="2" spans="1:20" ht="15" thickTop="1" x14ac:dyDescent="0.3">
      <c r="A2" s="7">
        <v>45962</v>
      </c>
      <c r="B2" s="7">
        <v>45963</v>
      </c>
      <c r="C2" t="s">
        <v>28</v>
      </c>
      <c r="D2" t="s">
        <v>33</v>
      </c>
      <c r="E2" t="s">
        <v>40</v>
      </c>
      <c r="F2">
        <v>431758962</v>
      </c>
      <c r="G2">
        <v>803378685</v>
      </c>
      <c r="H2">
        <v>44344</v>
      </c>
      <c r="I2">
        <v>44538</v>
      </c>
      <c r="J2">
        <f>Table134567891011121323456789101112[[#This Row],[LOADED LITRES]]-Table134567891011121323456789101112[[#This Row],[Offloading Litres]]</f>
        <v>-194</v>
      </c>
      <c r="K2" t="s">
        <v>25</v>
      </c>
      <c r="L2">
        <v>76389735</v>
      </c>
      <c r="M2" t="s">
        <v>3015</v>
      </c>
      <c r="N2">
        <v>0.74299999999999999</v>
      </c>
      <c r="O2" s="8">
        <f>Table134567891011121323456789101112[[#This Row],[Offloading Litres]]*Table134567891011121323456789101112[[#This Row],[Rate]]</f>
        <v>33091.733999999997</v>
      </c>
      <c r="P2" s="9" t="s">
        <v>2897</v>
      </c>
      <c r="Q2" t="s">
        <v>3228</v>
      </c>
    </row>
    <row r="3" spans="1:20" x14ac:dyDescent="0.3">
      <c r="A3" s="7">
        <v>45962</v>
      </c>
      <c r="B3" s="7">
        <v>45963</v>
      </c>
      <c r="C3" t="s">
        <v>34</v>
      </c>
      <c r="D3" t="s">
        <v>15</v>
      </c>
      <c r="E3" t="s">
        <v>40</v>
      </c>
      <c r="F3">
        <v>431758960</v>
      </c>
      <c r="G3">
        <v>803378696</v>
      </c>
      <c r="H3">
        <v>44012</v>
      </c>
      <c r="I3">
        <v>44184</v>
      </c>
      <c r="J3">
        <f>Table134567891011121323456789101112[[#This Row],[LOADED LITRES]]-Table134567891011121323456789101112[[#This Row],[Offloading Litres]]</f>
        <v>-172</v>
      </c>
      <c r="K3" t="s">
        <v>25</v>
      </c>
      <c r="L3">
        <v>76389743</v>
      </c>
      <c r="M3" t="s">
        <v>3016</v>
      </c>
      <c r="N3">
        <v>0.74299999999999999</v>
      </c>
      <c r="O3" s="8">
        <f>Table134567891011121323456789101112[[#This Row],[Offloading Litres]]*Table134567891011121323456789101112[[#This Row],[Rate]]</f>
        <v>32828.712</v>
      </c>
      <c r="P3" s="9" t="s">
        <v>2898</v>
      </c>
      <c r="Q3" t="s">
        <v>3219</v>
      </c>
    </row>
    <row r="4" spans="1:20" x14ac:dyDescent="0.3">
      <c r="A4" s="7">
        <v>45962</v>
      </c>
      <c r="B4" s="7">
        <v>45963</v>
      </c>
      <c r="C4" t="s">
        <v>22</v>
      </c>
      <c r="D4" t="s">
        <v>2896</v>
      </c>
      <c r="E4" t="s">
        <v>40</v>
      </c>
      <c r="F4">
        <v>431758963</v>
      </c>
      <c r="G4">
        <v>803378781</v>
      </c>
      <c r="H4">
        <v>44140</v>
      </c>
      <c r="I4">
        <v>44118</v>
      </c>
      <c r="J4">
        <f>Table134567891011121323456789101112[[#This Row],[LOADED LITRES]]-Table134567891011121323456789101112[[#This Row],[Offloading Litres]]</f>
        <v>22</v>
      </c>
      <c r="K4" t="s">
        <v>25</v>
      </c>
      <c r="L4">
        <v>76389808</v>
      </c>
      <c r="M4" t="s">
        <v>3017</v>
      </c>
      <c r="N4">
        <v>0.74299999999999999</v>
      </c>
      <c r="O4" s="8">
        <f>Table134567891011121323456789101112[[#This Row],[Offloading Litres]]*Table134567891011121323456789101112[[#This Row],[Rate]]</f>
        <v>32779.673999999999</v>
      </c>
      <c r="P4" s="9" t="s">
        <v>2899</v>
      </c>
      <c r="Q4" t="s">
        <v>3220</v>
      </c>
    </row>
    <row r="5" spans="1:20" x14ac:dyDescent="0.3">
      <c r="A5" s="7">
        <v>45962</v>
      </c>
      <c r="B5" s="7">
        <v>45964</v>
      </c>
      <c r="C5" t="s">
        <v>23</v>
      </c>
      <c r="D5" t="s">
        <v>287</v>
      </c>
      <c r="E5" t="s">
        <v>40</v>
      </c>
      <c r="F5">
        <v>431758558</v>
      </c>
      <c r="G5">
        <v>803380031</v>
      </c>
      <c r="H5">
        <v>38761</v>
      </c>
      <c r="I5">
        <v>38706</v>
      </c>
      <c r="J5">
        <f>Table134567891011121323456789101112[[#This Row],[LOADED LITRES]]-Table134567891011121323456789101112[[#This Row],[Offloading Litres]]</f>
        <v>55</v>
      </c>
      <c r="K5" t="s">
        <v>32</v>
      </c>
      <c r="L5">
        <v>76391222</v>
      </c>
      <c r="M5" t="s">
        <v>3018</v>
      </c>
      <c r="N5">
        <v>0.74299999999999999</v>
      </c>
      <c r="O5" s="8">
        <f>Table134567891011121323456789101112[[#This Row],[Offloading Litres]]*Table134567891011121323456789101112[[#This Row],[Rate]]</f>
        <v>28758.558000000001</v>
      </c>
      <c r="P5" s="9" t="s">
        <v>2900</v>
      </c>
      <c r="Q5" t="s">
        <v>3226</v>
      </c>
    </row>
    <row r="6" spans="1:20" x14ac:dyDescent="0.3">
      <c r="A6" s="7">
        <v>45963</v>
      </c>
      <c r="B6" s="7">
        <v>45965</v>
      </c>
      <c r="C6" t="s">
        <v>30</v>
      </c>
      <c r="D6" t="s">
        <v>349</v>
      </c>
      <c r="E6" t="s">
        <v>40</v>
      </c>
      <c r="F6">
        <v>431759268</v>
      </c>
      <c r="G6">
        <v>803381114</v>
      </c>
      <c r="H6">
        <v>44046</v>
      </c>
      <c r="I6">
        <v>44065</v>
      </c>
      <c r="J6">
        <f>Table134567891011121323456789101112[[#This Row],[LOADED LITRES]]-Table134567891011121323456789101112[[#This Row],[Offloading Litres]]</f>
        <v>-19</v>
      </c>
      <c r="K6" t="s">
        <v>25</v>
      </c>
      <c r="L6">
        <v>76392055</v>
      </c>
      <c r="M6" t="s">
        <v>3019</v>
      </c>
      <c r="N6">
        <v>0.74299999999999999</v>
      </c>
      <c r="O6" s="8">
        <f>Table134567891011121323456789101112[[#This Row],[Offloading Litres]]*Table134567891011121323456789101112[[#This Row],[Rate]]</f>
        <v>32740.294999999998</v>
      </c>
      <c r="P6" s="9" t="s">
        <v>2903</v>
      </c>
      <c r="Q6" t="s">
        <v>3238</v>
      </c>
    </row>
    <row r="7" spans="1:20" x14ac:dyDescent="0.3">
      <c r="A7" s="7">
        <v>45963</v>
      </c>
      <c r="B7" s="7">
        <v>45964</v>
      </c>
      <c r="C7" t="s">
        <v>29</v>
      </c>
      <c r="D7" t="s">
        <v>19</v>
      </c>
      <c r="E7" t="s">
        <v>40</v>
      </c>
      <c r="F7">
        <v>431759269</v>
      </c>
      <c r="G7">
        <v>803381366</v>
      </c>
      <c r="H7">
        <v>44093</v>
      </c>
      <c r="I7">
        <v>44153</v>
      </c>
      <c r="J7">
        <f>Table134567891011121323456789101112[[#This Row],[LOADED LITRES]]-Table134567891011121323456789101112[[#This Row],[Offloading Litres]]</f>
        <v>-60</v>
      </c>
      <c r="K7" t="s">
        <v>25</v>
      </c>
      <c r="L7">
        <v>76392261</v>
      </c>
      <c r="M7" t="s">
        <v>3020</v>
      </c>
      <c r="N7">
        <v>0.74299999999999999</v>
      </c>
      <c r="O7" s="8">
        <f>Table134567891011121323456789101112[[#This Row],[Offloading Litres]]*Table134567891011121323456789101112[[#This Row],[Rate]]</f>
        <v>32805.678999999996</v>
      </c>
      <c r="P7" s="9" t="s">
        <v>2901</v>
      </c>
      <c r="Q7" t="s">
        <v>3225</v>
      </c>
    </row>
    <row r="8" spans="1:20" x14ac:dyDescent="0.3">
      <c r="A8" s="7">
        <v>45963</v>
      </c>
      <c r="B8" s="7">
        <v>45964</v>
      </c>
      <c r="C8" t="s">
        <v>103</v>
      </c>
      <c r="D8" t="s">
        <v>286</v>
      </c>
      <c r="E8" t="s">
        <v>40</v>
      </c>
      <c r="F8">
        <v>431759270</v>
      </c>
      <c r="G8">
        <v>803381531</v>
      </c>
      <c r="H8">
        <v>43981</v>
      </c>
      <c r="I8">
        <v>43893</v>
      </c>
      <c r="J8">
        <f>Table134567891011121323456789101112[[#This Row],[LOADED LITRES]]-Table134567891011121323456789101112[[#This Row],[Offloading Litres]]</f>
        <v>88</v>
      </c>
      <c r="K8" t="s">
        <v>25</v>
      </c>
      <c r="L8">
        <v>76392329</v>
      </c>
      <c r="M8" t="s">
        <v>3021</v>
      </c>
      <c r="N8">
        <v>0.74299999999999999</v>
      </c>
      <c r="O8" s="8">
        <f>Table134567891011121323456789101112[[#This Row],[Offloading Litres]]*Table134567891011121323456789101112[[#This Row],[Rate]]</f>
        <v>32612.499</v>
      </c>
      <c r="P8" s="9" t="s">
        <v>2902</v>
      </c>
      <c r="Q8" t="s">
        <v>3227</v>
      </c>
    </row>
    <row r="9" spans="1:20" x14ac:dyDescent="0.3">
      <c r="A9" s="7">
        <v>45964</v>
      </c>
      <c r="B9" s="7">
        <v>45966</v>
      </c>
      <c r="C9" t="s">
        <v>34</v>
      </c>
      <c r="D9" t="s">
        <v>15</v>
      </c>
      <c r="E9" t="s">
        <v>40</v>
      </c>
      <c r="F9">
        <v>431758559</v>
      </c>
      <c r="G9">
        <v>803382318</v>
      </c>
      <c r="H9">
        <v>38797</v>
      </c>
      <c r="I9">
        <v>39005</v>
      </c>
      <c r="J9">
        <f>Table134567891011121323456789101112[[#This Row],[LOADED LITRES]]-Table134567891011121323456789101112[[#This Row],[Offloading Litres]]</f>
        <v>-208</v>
      </c>
      <c r="K9" t="s">
        <v>32</v>
      </c>
      <c r="L9">
        <v>76393104</v>
      </c>
      <c r="M9" t="s">
        <v>3022</v>
      </c>
      <c r="N9">
        <v>0.74299999999999999</v>
      </c>
      <c r="O9" s="8">
        <f>Table134567891011121323456789101112[[#This Row],[Offloading Litres]]*Table134567891011121323456789101112[[#This Row],[Rate]]</f>
        <v>28980.715</v>
      </c>
      <c r="P9" s="9" t="s">
        <v>2907</v>
      </c>
      <c r="Q9" t="s">
        <v>3231</v>
      </c>
    </row>
    <row r="10" spans="1:20" x14ac:dyDescent="0.3">
      <c r="A10" s="7">
        <v>45964</v>
      </c>
      <c r="B10" s="7">
        <v>45965</v>
      </c>
      <c r="C10" t="s">
        <v>1794</v>
      </c>
      <c r="D10" t="s">
        <v>35</v>
      </c>
      <c r="E10" t="s">
        <v>16</v>
      </c>
      <c r="F10">
        <v>431814048</v>
      </c>
      <c r="G10">
        <v>803383614</v>
      </c>
      <c r="H10">
        <v>44663</v>
      </c>
      <c r="I10">
        <v>44748</v>
      </c>
      <c r="J10">
        <f>Table134567891011121323456789101112[[#This Row],[LOADED LITRES]]-Table134567891011121323456789101112[[#This Row],[Offloading Litres]]</f>
        <v>-85</v>
      </c>
      <c r="K10" t="s">
        <v>25</v>
      </c>
      <c r="L10">
        <v>76394516</v>
      </c>
      <c r="M10" t="s">
        <v>3023</v>
      </c>
      <c r="N10">
        <v>0.68720000000000003</v>
      </c>
      <c r="O10" s="8">
        <f>Table134567891011121323456789101112[[#This Row],[Offloading Litres]]*Table134567891011121323456789101112[[#This Row],[Rate]]</f>
        <v>30750.8256</v>
      </c>
      <c r="P10" s="9" t="s">
        <v>2904</v>
      </c>
      <c r="Q10" t="s">
        <v>3229</v>
      </c>
    </row>
    <row r="11" spans="1:20" x14ac:dyDescent="0.3">
      <c r="A11" s="7">
        <v>45964</v>
      </c>
      <c r="B11" s="7">
        <v>45966</v>
      </c>
      <c r="C11" t="s">
        <v>22</v>
      </c>
      <c r="D11" t="s">
        <v>2896</v>
      </c>
      <c r="E11" t="s">
        <v>40</v>
      </c>
      <c r="F11">
        <v>431759282</v>
      </c>
      <c r="G11">
        <v>803385819</v>
      </c>
      <c r="H11">
        <v>44067</v>
      </c>
      <c r="I11">
        <v>44125</v>
      </c>
      <c r="J11">
        <f>Table134567891011121323456789101112[[#This Row],[LOADED LITRES]]-Table134567891011121323456789101112[[#This Row],[Offloading Litres]]</f>
        <v>-58</v>
      </c>
      <c r="K11" t="s">
        <v>25</v>
      </c>
      <c r="L11">
        <v>76396660</v>
      </c>
      <c r="M11" t="s">
        <v>3024</v>
      </c>
      <c r="N11">
        <v>0.74299999999999999</v>
      </c>
      <c r="O11" s="8">
        <f>Table134567891011121323456789101112[[#This Row],[Offloading Litres]]*Table134567891011121323456789101112[[#This Row],[Rate]]</f>
        <v>32784.875</v>
      </c>
      <c r="P11" s="9" t="s">
        <v>2978</v>
      </c>
      <c r="Q11" t="s">
        <v>3230</v>
      </c>
    </row>
    <row r="12" spans="1:20" x14ac:dyDescent="0.3">
      <c r="A12" s="7">
        <v>45965</v>
      </c>
      <c r="B12" s="7">
        <v>45966</v>
      </c>
      <c r="C12" t="s">
        <v>23</v>
      </c>
      <c r="D12" t="s">
        <v>287</v>
      </c>
      <c r="E12" t="s">
        <v>40</v>
      </c>
      <c r="F12">
        <v>431759283</v>
      </c>
      <c r="G12">
        <v>803387483</v>
      </c>
      <c r="H12">
        <v>43897</v>
      </c>
      <c r="I12">
        <v>44093</v>
      </c>
      <c r="J12">
        <f>Table134567891011121323456789101112[[#This Row],[LOADED LITRES]]-Table134567891011121323456789101112[[#This Row],[Offloading Litres]]</f>
        <v>-196</v>
      </c>
      <c r="K12" t="s">
        <v>25</v>
      </c>
      <c r="L12">
        <v>76397955</v>
      </c>
      <c r="M12" t="s">
        <v>3025</v>
      </c>
      <c r="N12">
        <v>0.74299999999999999</v>
      </c>
      <c r="O12" s="8">
        <f>Table134567891011121323456789101112[[#This Row],[Offloading Litres]]*Table134567891011121323456789101112[[#This Row],[Rate]]</f>
        <v>32761.098999999998</v>
      </c>
      <c r="P12" s="9" t="s">
        <v>2905</v>
      </c>
      <c r="Q12" t="s">
        <v>3223</v>
      </c>
    </row>
    <row r="13" spans="1:20" x14ac:dyDescent="0.3">
      <c r="A13" s="7">
        <v>45965</v>
      </c>
      <c r="B13" s="7">
        <v>45966</v>
      </c>
      <c r="C13" t="s">
        <v>103</v>
      </c>
      <c r="D13" t="s">
        <v>286</v>
      </c>
      <c r="E13" t="s">
        <v>40</v>
      </c>
      <c r="F13">
        <v>431758573</v>
      </c>
      <c r="G13">
        <v>803390578</v>
      </c>
      <c r="H13">
        <v>39275</v>
      </c>
      <c r="I13">
        <v>39482</v>
      </c>
      <c r="J13">
        <f>Table134567891011121323456789101112[[#This Row],[LOADED LITRES]]-Table134567891011121323456789101112[[#This Row],[Offloading Litres]]</f>
        <v>-207</v>
      </c>
      <c r="K13" t="s">
        <v>32</v>
      </c>
      <c r="L13">
        <v>76401240</v>
      </c>
      <c r="M13" t="s">
        <v>3026</v>
      </c>
      <c r="N13">
        <v>0.74299999999999999</v>
      </c>
      <c r="O13" s="8">
        <f>Table134567891011121323456789101112[[#This Row],[Offloading Litres]]*Table134567891011121323456789101112[[#This Row],[Rate]]</f>
        <v>29335.126</v>
      </c>
      <c r="P13" s="9" t="s">
        <v>2908</v>
      </c>
      <c r="Q13" t="s">
        <v>3224</v>
      </c>
    </row>
    <row r="14" spans="1:20" x14ac:dyDescent="0.3">
      <c r="A14" s="7">
        <v>45965</v>
      </c>
      <c r="B14" s="7">
        <v>45966</v>
      </c>
      <c r="C14" t="s">
        <v>28</v>
      </c>
      <c r="D14" t="s">
        <v>33</v>
      </c>
      <c r="E14" t="s">
        <v>16</v>
      </c>
      <c r="F14">
        <v>431814307</v>
      </c>
      <c r="G14">
        <v>803390214</v>
      </c>
      <c r="H14">
        <v>39544</v>
      </c>
      <c r="I14">
        <v>39720</v>
      </c>
      <c r="J14">
        <f>Table134567891011121323456789101112[[#This Row],[LOADED LITRES]]-Table134567891011121323456789101112[[#This Row],[Offloading Litres]]</f>
        <v>-176</v>
      </c>
      <c r="K14" t="s">
        <v>32</v>
      </c>
      <c r="L14">
        <v>76400810</v>
      </c>
      <c r="M14" t="s">
        <v>3027</v>
      </c>
      <c r="N14">
        <v>0.68720000000000003</v>
      </c>
      <c r="O14" s="8">
        <f>Table134567891011121323456789101112[[#This Row],[Offloading Litres]]*Table134567891011121323456789101112[[#This Row],[Rate]]</f>
        <v>27295.584000000003</v>
      </c>
      <c r="P14" s="9" t="s">
        <v>2909</v>
      </c>
      <c r="Q14" t="s">
        <v>3221</v>
      </c>
    </row>
    <row r="15" spans="1:20" x14ac:dyDescent="0.3">
      <c r="A15" s="7">
        <v>45965</v>
      </c>
      <c r="B15" s="7">
        <v>45967</v>
      </c>
      <c r="C15" t="s">
        <v>29</v>
      </c>
      <c r="D15" t="s">
        <v>19</v>
      </c>
      <c r="E15" t="s">
        <v>40</v>
      </c>
      <c r="F15">
        <v>431981820</v>
      </c>
      <c r="G15">
        <v>803390684</v>
      </c>
      <c r="H15">
        <v>44114</v>
      </c>
      <c r="I15">
        <v>44182</v>
      </c>
      <c r="J15">
        <f>Table134567891011121323456789101112[[#This Row],[LOADED LITRES]]-Table134567891011121323456789101112[[#This Row],[Offloading Litres]]</f>
        <v>-68</v>
      </c>
      <c r="K15" t="s">
        <v>25</v>
      </c>
      <c r="L15">
        <v>76401396</v>
      </c>
      <c r="M15" t="s">
        <v>3028</v>
      </c>
      <c r="N15">
        <v>0.74299999999999999</v>
      </c>
      <c r="O15" s="8">
        <f>Table134567891011121323456789101112[[#This Row],[Offloading Litres]]*Table134567891011121323456789101112[[#This Row],[Rate]]</f>
        <v>32827.226000000002</v>
      </c>
      <c r="P15" s="9" t="s">
        <v>2911</v>
      </c>
      <c r="Q15" t="s">
        <v>3222</v>
      </c>
    </row>
    <row r="16" spans="1:20" x14ac:dyDescent="0.3">
      <c r="A16" s="7">
        <v>45966</v>
      </c>
      <c r="B16" s="7">
        <v>45967</v>
      </c>
      <c r="C16" t="s">
        <v>30</v>
      </c>
      <c r="D16" t="s">
        <v>349</v>
      </c>
      <c r="E16" t="s">
        <v>40</v>
      </c>
      <c r="F16">
        <v>431758556</v>
      </c>
      <c r="G16">
        <v>803391623</v>
      </c>
      <c r="H16">
        <v>38793</v>
      </c>
      <c r="I16">
        <v>38895</v>
      </c>
      <c r="J16">
        <f>Table134567891011121323456789101112[[#This Row],[LOADED LITRES]]-Table134567891011121323456789101112[[#This Row],[Offloading Litres]]</f>
        <v>-102</v>
      </c>
      <c r="K16" t="s">
        <v>32</v>
      </c>
      <c r="L16">
        <v>76402360</v>
      </c>
      <c r="M16" t="s">
        <v>3029</v>
      </c>
      <c r="N16">
        <v>0.74299999999999999</v>
      </c>
      <c r="O16" s="8">
        <f>Table134567891011121323456789101112[[#This Row],[Offloading Litres]]*Table134567891011121323456789101112[[#This Row],[Rate]]</f>
        <v>28898.985000000001</v>
      </c>
      <c r="P16" s="9" t="s">
        <v>2910</v>
      </c>
      <c r="Q16" t="s">
        <v>3237</v>
      </c>
    </row>
    <row r="17" spans="1:17" x14ac:dyDescent="0.3">
      <c r="A17" s="7">
        <v>45966</v>
      </c>
      <c r="B17" s="7">
        <v>45967</v>
      </c>
      <c r="C17" t="s">
        <v>17</v>
      </c>
      <c r="D17" t="s">
        <v>2906</v>
      </c>
      <c r="E17" t="s">
        <v>16</v>
      </c>
      <c r="F17">
        <v>432045273</v>
      </c>
      <c r="G17">
        <v>803393673</v>
      </c>
      <c r="H17">
        <v>43970</v>
      </c>
      <c r="I17">
        <v>44287</v>
      </c>
      <c r="J17">
        <f>Table134567891011121323456789101112[[#This Row],[LOADED LITRES]]-Table134567891011121323456789101112[[#This Row],[Offloading Litres]]</f>
        <v>-317</v>
      </c>
      <c r="K17" t="s">
        <v>25</v>
      </c>
      <c r="L17">
        <v>76404590</v>
      </c>
      <c r="M17" t="s">
        <v>3030</v>
      </c>
      <c r="N17">
        <v>0.68720000000000003</v>
      </c>
      <c r="O17" s="8">
        <f>Table134567891011121323456789101112[[#This Row],[Offloading Litres]]*Table134567891011121323456789101112[[#This Row],[Rate]]</f>
        <v>30434.026400000002</v>
      </c>
      <c r="P17" s="9" t="s">
        <v>2914</v>
      </c>
      <c r="Q17" t="s">
        <v>3236</v>
      </c>
    </row>
    <row r="18" spans="1:17" x14ac:dyDescent="0.3">
      <c r="A18" s="7">
        <v>45967</v>
      </c>
      <c r="B18" s="7">
        <v>45967</v>
      </c>
      <c r="C18" t="s">
        <v>22</v>
      </c>
      <c r="D18" t="s">
        <v>2896</v>
      </c>
      <c r="E18" t="s">
        <v>2912</v>
      </c>
      <c r="F18">
        <v>432263942</v>
      </c>
      <c r="G18">
        <v>803396184</v>
      </c>
      <c r="H18">
        <v>38187</v>
      </c>
      <c r="I18">
        <v>38295</v>
      </c>
      <c r="J18">
        <f>Table134567891011121323456789101112[[#This Row],[LOADED LITRES]]-Table134567891011121323456789101112[[#This Row],[Offloading Litres]]</f>
        <v>-108</v>
      </c>
      <c r="K18" t="s">
        <v>32</v>
      </c>
      <c r="L18" s="18" t="s">
        <v>3101</v>
      </c>
      <c r="M18" t="s">
        <v>3171</v>
      </c>
      <c r="N18">
        <v>0.5776</v>
      </c>
      <c r="O18" s="8">
        <f>Table134567891011121323456789101112[[#This Row],[Offloading Litres]]*Table134567891011121323456789101112[[#This Row],[Rate]]</f>
        <v>22119.191999999999</v>
      </c>
      <c r="P18" s="9" t="s">
        <v>2913</v>
      </c>
      <c r="Q18" t="s">
        <v>3234</v>
      </c>
    </row>
    <row r="19" spans="1:17" x14ac:dyDescent="0.3">
      <c r="A19" s="7">
        <v>45967</v>
      </c>
      <c r="B19" s="7">
        <v>45968</v>
      </c>
      <c r="C19" t="s">
        <v>1794</v>
      </c>
      <c r="D19" t="s">
        <v>27</v>
      </c>
      <c r="E19" t="s">
        <v>40</v>
      </c>
      <c r="F19">
        <v>431759271</v>
      </c>
      <c r="G19">
        <v>803396192</v>
      </c>
      <c r="H19">
        <v>44646</v>
      </c>
      <c r="I19">
        <v>44653</v>
      </c>
      <c r="J19">
        <f>Table134567891011121323456789101112[[#This Row],[LOADED LITRES]]-Table134567891011121323456789101112[[#This Row],[Offloading Litres]]</f>
        <v>-7</v>
      </c>
      <c r="K19" t="s">
        <v>25</v>
      </c>
      <c r="L19">
        <v>76407185</v>
      </c>
      <c r="M19" t="s">
        <v>3031</v>
      </c>
      <c r="N19">
        <v>0.74299999999999999</v>
      </c>
      <c r="O19" s="8">
        <f>Table134567891011121323456789101112[[#This Row],[Offloading Litres]]*Table134567891011121323456789101112[[#This Row],[Rate]]</f>
        <v>33177.178999999996</v>
      </c>
      <c r="P19" s="9" t="s">
        <v>2924</v>
      </c>
      <c r="Q19" t="s">
        <v>3246</v>
      </c>
    </row>
    <row r="20" spans="1:17" x14ac:dyDescent="0.3">
      <c r="A20" s="7">
        <v>45967</v>
      </c>
      <c r="B20" s="7">
        <v>45968</v>
      </c>
      <c r="C20" t="s">
        <v>23</v>
      </c>
      <c r="D20" t="s">
        <v>287</v>
      </c>
      <c r="E20" t="s">
        <v>16</v>
      </c>
      <c r="F20">
        <v>432045482</v>
      </c>
      <c r="G20">
        <v>803399869</v>
      </c>
      <c r="H20">
        <v>44098</v>
      </c>
      <c r="I20">
        <v>44273</v>
      </c>
      <c r="J20">
        <f>Table134567891011121323456789101112[[#This Row],[LOADED LITRES]]-Table134567891011121323456789101112[[#This Row],[Offloading Litres]]</f>
        <v>-175</v>
      </c>
      <c r="K20" t="s">
        <v>25</v>
      </c>
      <c r="L20">
        <v>76411140</v>
      </c>
      <c r="M20" t="s">
        <v>3032</v>
      </c>
      <c r="N20">
        <v>0.68720000000000003</v>
      </c>
      <c r="O20" s="8">
        <f>Table134567891011121323456789101112[[#This Row],[Offloading Litres]]*Table134567891011121323456789101112[[#This Row],[Rate]]</f>
        <v>30424.405600000002</v>
      </c>
      <c r="P20" s="9" t="s">
        <v>2916</v>
      </c>
      <c r="Q20" t="s">
        <v>3235</v>
      </c>
    </row>
    <row r="21" spans="1:17" x14ac:dyDescent="0.3">
      <c r="A21" s="7">
        <v>45967</v>
      </c>
      <c r="B21" s="7">
        <v>45969</v>
      </c>
      <c r="C21" t="s">
        <v>34</v>
      </c>
      <c r="D21" t="s">
        <v>15</v>
      </c>
      <c r="E21" t="s">
        <v>40</v>
      </c>
      <c r="F21">
        <v>431981841</v>
      </c>
      <c r="G21">
        <v>803400265</v>
      </c>
      <c r="H21">
        <v>44070</v>
      </c>
      <c r="I21">
        <v>44157</v>
      </c>
      <c r="J21">
        <f>Table134567891011121323456789101112[[#This Row],[LOADED LITRES]]-Table134567891011121323456789101112[[#This Row],[Offloading Litres]]</f>
        <v>-87</v>
      </c>
      <c r="K21" t="s">
        <v>25</v>
      </c>
      <c r="L21">
        <v>76411515</v>
      </c>
      <c r="M21" t="s">
        <v>3033</v>
      </c>
      <c r="N21">
        <v>0.74299999999999999</v>
      </c>
      <c r="O21" s="8">
        <f>Table134567891011121323456789101112[[#This Row],[Offloading Litres]]*Table134567891011121323456789101112[[#This Row],[Rate]]</f>
        <v>32808.650999999998</v>
      </c>
      <c r="P21" s="9" t="s">
        <v>2918</v>
      </c>
      <c r="Q21" t="s">
        <v>3233</v>
      </c>
    </row>
    <row r="22" spans="1:17" x14ac:dyDescent="0.3">
      <c r="A22" s="7">
        <v>45967</v>
      </c>
      <c r="B22" s="7">
        <v>45969</v>
      </c>
      <c r="C22" t="s">
        <v>28</v>
      </c>
      <c r="D22" t="s">
        <v>33</v>
      </c>
      <c r="E22" t="s">
        <v>40</v>
      </c>
      <c r="F22">
        <v>431981821</v>
      </c>
      <c r="G22">
        <v>803400510</v>
      </c>
      <c r="H22">
        <v>44399</v>
      </c>
      <c r="I22">
        <v>44296</v>
      </c>
      <c r="J22">
        <f>Table134567891011121323456789101112[[#This Row],[LOADED LITRES]]-Table134567891011121323456789101112[[#This Row],[Offloading Litres]]</f>
        <v>103</v>
      </c>
      <c r="K22" t="s">
        <v>25</v>
      </c>
      <c r="L22">
        <v>76411808</v>
      </c>
      <c r="M22" t="s">
        <v>3034</v>
      </c>
      <c r="N22">
        <v>0.74299999999999999</v>
      </c>
      <c r="O22" s="8">
        <f>Table134567891011121323456789101112[[#This Row],[Offloading Litres]]*Table134567891011121323456789101112[[#This Row],[Rate]]</f>
        <v>32911.928</v>
      </c>
      <c r="P22" s="9" t="s">
        <v>2980</v>
      </c>
      <c r="Q22" t="s">
        <v>3245</v>
      </c>
    </row>
    <row r="23" spans="1:17" x14ac:dyDescent="0.3">
      <c r="A23" s="7">
        <v>45968</v>
      </c>
      <c r="B23" s="7">
        <v>45970</v>
      </c>
      <c r="C23" t="s">
        <v>22</v>
      </c>
      <c r="D23" t="s">
        <v>2906</v>
      </c>
      <c r="E23" t="s">
        <v>40</v>
      </c>
      <c r="F23">
        <v>431981851</v>
      </c>
      <c r="G23">
        <v>803405790</v>
      </c>
      <c r="H23">
        <v>44160</v>
      </c>
      <c r="I23">
        <v>44380</v>
      </c>
      <c r="J23">
        <f>Table134567891011121323456789101112[[#This Row],[LOADED LITRES]]-Table134567891011121323456789101112[[#This Row],[Offloading Litres]]</f>
        <v>-220</v>
      </c>
      <c r="K23" t="s">
        <v>25</v>
      </c>
      <c r="L23">
        <v>76417831</v>
      </c>
      <c r="M23" t="s">
        <v>3035</v>
      </c>
      <c r="N23">
        <v>0.74299999999999999</v>
      </c>
      <c r="O23" s="8">
        <f>Table134567891011121323456789101112[[#This Row],[Offloading Litres]]*Table134567891011121323456789101112[[#This Row],[Rate]]</f>
        <v>32974.339999999997</v>
      </c>
      <c r="P23" s="9" t="s">
        <v>2979</v>
      </c>
      <c r="Q23" t="s">
        <v>3240</v>
      </c>
    </row>
    <row r="24" spans="1:17" x14ac:dyDescent="0.3">
      <c r="A24" s="7">
        <v>45968</v>
      </c>
      <c r="B24" s="7">
        <v>45968</v>
      </c>
      <c r="C24" t="s">
        <v>103</v>
      </c>
      <c r="D24" t="s">
        <v>286</v>
      </c>
      <c r="E24" t="s">
        <v>2977</v>
      </c>
      <c r="F24">
        <v>432214965</v>
      </c>
      <c r="G24">
        <v>803400732</v>
      </c>
      <c r="H24">
        <v>39308</v>
      </c>
      <c r="I24">
        <v>39422</v>
      </c>
      <c r="J24">
        <f>Table134567891011121323456789101112[[#This Row],[LOADED LITRES]]-Table134567891011121323456789101112[[#This Row],[Offloading Litres]]</f>
        <v>-114</v>
      </c>
      <c r="K24" t="s">
        <v>32</v>
      </c>
      <c r="L24" s="17" t="s">
        <v>3102</v>
      </c>
      <c r="M24" t="s">
        <v>3172</v>
      </c>
      <c r="N24">
        <v>0.79</v>
      </c>
      <c r="O24" s="8">
        <f>Table134567891011121323456789101112[[#This Row],[Offloading Litres]]*Table134567891011121323456789101112[[#This Row],[Rate]]</f>
        <v>31143.38</v>
      </c>
      <c r="P24" s="9" t="s">
        <v>2917</v>
      </c>
      <c r="Q24" t="s">
        <v>3242</v>
      </c>
    </row>
    <row r="25" spans="1:17" x14ac:dyDescent="0.3">
      <c r="A25" s="7">
        <v>45968</v>
      </c>
      <c r="B25" s="7">
        <v>45970</v>
      </c>
      <c r="C25" t="s">
        <v>30</v>
      </c>
      <c r="D25" t="s">
        <v>349</v>
      </c>
      <c r="E25" t="s">
        <v>2915</v>
      </c>
      <c r="F25">
        <v>481982020</v>
      </c>
      <c r="G25">
        <v>803405729</v>
      </c>
      <c r="H25">
        <v>44025</v>
      </c>
      <c r="I25">
        <v>44180</v>
      </c>
      <c r="J25">
        <f>Table134567891011121323456789101112[[#This Row],[LOADED LITRES]]-Table134567891011121323456789101112[[#This Row],[Offloading Litres]]</f>
        <v>-155</v>
      </c>
      <c r="K25" t="s">
        <v>25</v>
      </c>
      <c r="L25">
        <v>76417761</v>
      </c>
      <c r="M25" t="s">
        <v>3036</v>
      </c>
      <c r="N25">
        <v>0.74299999999999999</v>
      </c>
      <c r="O25" s="8">
        <f>Table134567891011121323456789101112[[#This Row],[Offloading Litres]]*Table134567891011121323456789101112[[#This Row],[Rate]]</f>
        <v>32825.74</v>
      </c>
      <c r="P25" s="9" t="s">
        <v>2920</v>
      </c>
      <c r="Q25" t="s">
        <v>3241</v>
      </c>
    </row>
    <row r="26" spans="1:17" x14ac:dyDescent="0.3">
      <c r="A26" s="7">
        <v>45968</v>
      </c>
      <c r="B26" s="7">
        <v>45970</v>
      </c>
      <c r="C26" t="s">
        <v>29</v>
      </c>
      <c r="D26" t="s">
        <v>2896</v>
      </c>
      <c r="E26" t="s">
        <v>40</v>
      </c>
      <c r="F26">
        <v>431981854</v>
      </c>
      <c r="G26">
        <v>803405775</v>
      </c>
      <c r="H26">
        <v>44130</v>
      </c>
      <c r="I26">
        <v>44261</v>
      </c>
      <c r="J26">
        <f>Table134567891011121323456789101112[[#This Row],[LOADED LITRES]]-Table134567891011121323456789101112[[#This Row],[Offloading Litres]]</f>
        <v>-131</v>
      </c>
      <c r="K26" t="s">
        <v>25</v>
      </c>
      <c r="L26">
        <v>76417819</v>
      </c>
      <c r="M26" t="s">
        <v>3037</v>
      </c>
      <c r="N26">
        <v>0.74299999999999999</v>
      </c>
      <c r="O26" s="8">
        <f>Table134567891011121323456789101112[[#This Row],[Offloading Litres]]*Table134567891011121323456789101112[[#This Row],[Rate]]</f>
        <v>32885.923000000003</v>
      </c>
      <c r="P26" s="9" t="s">
        <v>2919</v>
      </c>
      <c r="Q26" t="s">
        <v>3244</v>
      </c>
    </row>
    <row r="27" spans="1:17" x14ac:dyDescent="0.3">
      <c r="A27" s="7">
        <v>45968</v>
      </c>
      <c r="B27" s="7">
        <v>45971</v>
      </c>
      <c r="C27" t="s">
        <v>17</v>
      </c>
      <c r="D27" t="s">
        <v>19</v>
      </c>
      <c r="E27" t="s">
        <v>16</v>
      </c>
      <c r="F27">
        <v>432045289</v>
      </c>
      <c r="G27">
        <v>803405770</v>
      </c>
      <c r="H27">
        <v>44016</v>
      </c>
      <c r="I27">
        <v>43933</v>
      </c>
      <c r="J27">
        <f>Table134567891011121323456789101112[[#This Row],[LOADED LITRES]]-Table134567891011121323456789101112[[#This Row],[Offloading Litres]]</f>
        <v>83</v>
      </c>
      <c r="K27" t="s">
        <v>25</v>
      </c>
      <c r="L27">
        <v>76417815</v>
      </c>
      <c r="M27" t="s">
        <v>3038</v>
      </c>
      <c r="N27">
        <v>0.68720000000000003</v>
      </c>
      <c r="O27" s="8">
        <f>Table134567891011121323456789101112[[#This Row],[Offloading Litres]]*Table134567891011121323456789101112[[#This Row],[Rate]]</f>
        <v>30190.757600000001</v>
      </c>
      <c r="P27" s="9" t="s">
        <v>2931</v>
      </c>
      <c r="Q27" t="s">
        <v>3251</v>
      </c>
    </row>
    <row r="28" spans="1:17" x14ac:dyDescent="0.3">
      <c r="A28" s="7">
        <v>45968</v>
      </c>
      <c r="B28" s="7">
        <v>45971</v>
      </c>
      <c r="C28" t="s">
        <v>21</v>
      </c>
      <c r="D28" t="s">
        <v>35</v>
      </c>
      <c r="E28" t="s">
        <v>16</v>
      </c>
      <c r="F28">
        <v>432045536</v>
      </c>
      <c r="G28">
        <v>803405803</v>
      </c>
      <c r="H28">
        <v>44617</v>
      </c>
      <c r="I28">
        <v>44530</v>
      </c>
      <c r="J28">
        <f>Table134567891011121323456789101112[[#This Row],[LOADED LITRES]]-Table134567891011121323456789101112[[#This Row],[Offloading Litres]]</f>
        <v>87</v>
      </c>
      <c r="K28" t="s">
        <v>25</v>
      </c>
      <c r="L28">
        <v>76417846</v>
      </c>
      <c r="M28" t="s">
        <v>3039</v>
      </c>
      <c r="N28">
        <v>0.68720000000000003</v>
      </c>
      <c r="O28" s="8">
        <f>Table134567891011121323456789101112[[#This Row],[Offloading Litres]]*Table134567891011121323456789101112[[#This Row],[Rate]]</f>
        <v>30601.016000000003</v>
      </c>
      <c r="P28" s="9" t="s">
        <v>2922</v>
      </c>
      <c r="Q28" t="s">
        <v>3259</v>
      </c>
    </row>
    <row r="29" spans="1:17" x14ac:dyDescent="0.3">
      <c r="A29" s="7">
        <v>45969</v>
      </c>
      <c r="B29" s="7">
        <v>45971</v>
      </c>
      <c r="C29" t="s">
        <v>1794</v>
      </c>
      <c r="D29" t="s">
        <v>27</v>
      </c>
      <c r="E29" t="s">
        <v>40</v>
      </c>
      <c r="F29">
        <v>431982041</v>
      </c>
      <c r="G29">
        <v>803406899</v>
      </c>
      <c r="H29">
        <v>44553</v>
      </c>
      <c r="I29">
        <v>44700</v>
      </c>
      <c r="J29">
        <f>Table134567891011121323456789101112[[#This Row],[LOADED LITRES]]-Table134567891011121323456789101112[[#This Row],[Offloading Litres]]</f>
        <v>-147</v>
      </c>
      <c r="K29" t="s">
        <v>25</v>
      </c>
      <c r="L29">
        <v>76419145</v>
      </c>
      <c r="M29" t="s">
        <v>3040</v>
      </c>
      <c r="N29">
        <v>0.74299999999999999</v>
      </c>
      <c r="O29" s="8">
        <f>Table134567891011121323456789101112[[#This Row],[Offloading Litres]]*Table134567891011121323456789101112[[#This Row],[Rate]]</f>
        <v>33212.1</v>
      </c>
      <c r="P29" s="9" t="s">
        <v>2981</v>
      </c>
      <c r="Q29" t="s">
        <v>3257</v>
      </c>
    </row>
    <row r="30" spans="1:17" x14ac:dyDescent="0.3">
      <c r="A30" s="7">
        <v>45969</v>
      </c>
      <c r="B30" s="7">
        <v>45972</v>
      </c>
      <c r="C30" t="s">
        <v>103</v>
      </c>
      <c r="D30" t="s">
        <v>286</v>
      </c>
      <c r="E30" t="s">
        <v>40</v>
      </c>
      <c r="F30">
        <v>431982057</v>
      </c>
      <c r="G30">
        <v>803408227</v>
      </c>
      <c r="H30">
        <v>43696</v>
      </c>
      <c r="I30">
        <v>43888</v>
      </c>
      <c r="J30">
        <f>Table134567891011121323456789101112[[#This Row],[LOADED LITRES]]-Table134567891011121323456789101112[[#This Row],[Offloading Litres]]</f>
        <v>-192</v>
      </c>
      <c r="K30" t="s">
        <v>25</v>
      </c>
      <c r="L30">
        <v>76420680</v>
      </c>
      <c r="M30" t="s">
        <v>3041</v>
      </c>
      <c r="N30">
        <v>0.74299999999999999</v>
      </c>
      <c r="O30" s="8">
        <f>Table134567891011121323456789101112[[#This Row],[Offloading Litres]]*Table134567891011121323456789101112[[#This Row],[Rate]]</f>
        <v>32608.784</v>
      </c>
      <c r="P30" s="9" t="s">
        <v>2929</v>
      </c>
      <c r="Q30" t="s">
        <v>3258</v>
      </c>
    </row>
    <row r="31" spans="1:17" x14ac:dyDescent="0.3">
      <c r="A31" s="7">
        <v>45970</v>
      </c>
      <c r="B31" s="7">
        <v>45972</v>
      </c>
      <c r="C31" t="s">
        <v>28</v>
      </c>
      <c r="D31" t="s">
        <v>33</v>
      </c>
      <c r="E31" t="s">
        <v>40</v>
      </c>
      <c r="F31">
        <v>431982076</v>
      </c>
      <c r="G31">
        <v>803408966</v>
      </c>
      <c r="H31">
        <v>44194</v>
      </c>
      <c r="I31">
        <v>44267</v>
      </c>
      <c r="J31">
        <f>Table134567891011121323456789101112[[#This Row],[LOADED LITRES]]-Table134567891011121323456789101112[[#This Row],[Offloading Litres]]</f>
        <v>-73</v>
      </c>
      <c r="K31" t="s">
        <v>25</v>
      </c>
      <c r="L31">
        <v>76421039</v>
      </c>
      <c r="M31" t="s">
        <v>3042</v>
      </c>
      <c r="N31">
        <v>0.74299999999999999</v>
      </c>
      <c r="O31" s="8">
        <f>Table134567891011121323456789101112[[#This Row],[Offloading Litres]]*Table134567891011121323456789101112[[#This Row],[Rate]]</f>
        <v>32890.381000000001</v>
      </c>
      <c r="P31" s="9" t="s">
        <v>2930</v>
      </c>
      <c r="Q31" t="s">
        <v>3250</v>
      </c>
    </row>
    <row r="32" spans="1:17" x14ac:dyDescent="0.3">
      <c r="A32" s="7">
        <v>45971</v>
      </c>
      <c r="B32" s="7">
        <v>45972</v>
      </c>
      <c r="C32" t="s">
        <v>34</v>
      </c>
      <c r="D32" t="s">
        <v>15</v>
      </c>
      <c r="E32" t="s">
        <v>2923</v>
      </c>
      <c r="F32">
        <v>431982431</v>
      </c>
      <c r="G32">
        <v>803411786</v>
      </c>
      <c r="H32">
        <v>43828</v>
      </c>
      <c r="I32">
        <v>44021</v>
      </c>
      <c r="J32">
        <f>Table134567891011121323456789101112[[#This Row],[LOADED LITRES]]-Table134567891011121323456789101112[[#This Row],[Offloading Litres]]</f>
        <v>-193</v>
      </c>
      <c r="K32" t="s">
        <v>25</v>
      </c>
      <c r="L32">
        <v>76423922</v>
      </c>
      <c r="M32" t="s">
        <v>3043</v>
      </c>
      <c r="N32">
        <v>0.74299999999999999</v>
      </c>
      <c r="O32" s="8">
        <f>Table134567891011121323456789101112[[#This Row],[Offloading Litres]]*Table134567891011121323456789101112[[#This Row],[Rate]]</f>
        <v>32707.602999999999</v>
      </c>
      <c r="P32" s="9" t="s">
        <v>2925</v>
      </c>
      <c r="Q32" t="s">
        <v>3254</v>
      </c>
    </row>
    <row r="33" spans="1:17" x14ac:dyDescent="0.3">
      <c r="A33" s="7">
        <v>45971</v>
      </c>
      <c r="B33" s="7">
        <v>45972</v>
      </c>
      <c r="C33" t="s">
        <v>22</v>
      </c>
      <c r="D33" t="s">
        <v>2906</v>
      </c>
      <c r="E33" t="s">
        <v>40</v>
      </c>
      <c r="F33">
        <v>431982050</v>
      </c>
      <c r="G33">
        <v>803411928</v>
      </c>
      <c r="H33">
        <v>43919</v>
      </c>
      <c r="I33">
        <v>44009</v>
      </c>
      <c r="J33">
        <f>Table134567891011121323456789101112[[#This Row],[LOADED LITRES]]-Table134567891011121323456789101112[[#This Row],[Offloading Litres]]</f>
        <v>-90</v>
      </c>
      <c r="K33" t="s">
        <v>25</v>
      </c>
      <c r="L33">
        <v>76424157</v>
      </c>
      <c r="M33" t="s">
        <v>3044</v>
      </c>
      <c r="N33">
        <v>0.74299999999999999</v>
      </c>
      <c r="O33" s="8">
        <f>Table134567891011121323456789101112[[#This Row],[Offloading Litres]]*Table134567891011121323456789101112[[#This Row],[Rate]]</f>
        <v>32698.686999999998</v>
      </c>
      <c r="P33" s="9" t="s">
        <v>2926</v>
      </c>
      <c r="Q33" t="s">
        <v>3256</v>
      </c>
    </row>
    <row r="34" spans="1:17" x14ac:dyDescent="0.3">
      <c r="A34" s="7">
        <v>45971</v>
      </c>
      <c r="B34" s="7">
        <v>45974</v>
      </c>
      <c r="C34" t="s">
        <v>23</v>
      </c>
      <c r="D34" t="s">
        <v>2896</v>
      </c>
      <c r="E34" t="s">
        <v>1778</v>
      </c>
      <c r="F34">
        <v>432339282</v>
      </c>
      <c r="H34">
        <v>38891</v>
      </c>
      <c r="I34">
        <v>39068</v>
      </c>
      <c r="J34">
        <f>Table134567891011121323456789101112[[#This Row],[LOADED LITRES]]-Table134567891011121323456789101112[[#This Row],[Offloading Litres]]</f>
        <v>-177</v>
      </c>
      <c r="K34" t="s">
        <v>32</v>
      </c>
      <c r="L34">
        <v>76431852</v>
      </c>
      <c r="M34" t="s">
        <v>3045</v>
      </c>
      <c r="N34">
        <v>0.80210000000000004</v>
      </c>
      <c r="O34" s="8">
        <f>Table134567891011121323456789101112[[#This Row],[Offloading Litres]]*Table134567891011121323456789101112[[#This Row],[Rate]]</f>
        <v>31336.442800000001</v>
      </c>
      <c r="P34" s="9" t="s">
        <v>2928</v>
      </c>
      <c r="Q34" t="s">
        <v>3255</v>
      </c>
    </row>
    <row r="35" spans="1:17" x14ac:dyDescent="0.3">
      <c r="A35" s="7">
        <v>45971</v>
      </c>
      <c r="B35" s="7">
        <v>45973</v>
      </c>
      <c r="C35" t="s">
        <v>30</v>
      </c>
      <c r="D35" t="s">
        <v>349</v>
      </c>
      <c r="E35" t="s">
        <v>40</v>
      </c>
      <c r="F35">
        <v>431982436</v>
      </c>
      <c r="G35">
        <v>803413989</v>
      </c>
      <c r="H35">
        <v>43910</v>
      </c>
      <c r="I35">
        <v>44060</v>
      </c>
      <c r="J35">
        <f>Table134567891011121323456789101112[[#This Row],[LOADED LITRES]]-Table134567891011121323456789101112[[#This Row],[Offloading Litres]]</f>
        <v>-150</v>
      </c>
      <c r="K35" t="s">
        <v>25</v>
      </c>
      <c r="L35">
        <v>76426080</v>
      </c>
      <c r="M35" t="s">
        <v>3046</v>
      </c>
      <c r="N35">
        <v>0.74299999999999999</v>
      </c>
      <c r="O35" s="8">
        <f>Table134567891011121323456789101112[[#This Row],[Offloading Litres]]*Table134567891011121323456789101112[[#This Row],[Rate]]</f>
        <v>32736.579999999998</v>
      </c>
      <c r="P35" s="9" t="s">
        <v>2921</v>
      </c>
      <c r="Q35" t="s">
        <v>3248</v>
      </c>
    </row>
    <row r="36" spans="1:17" x14ac:dyDescent="0.3">
      <c r="A36" s="7">
        <v>45971</v>
      </c>
      <c r="B36" s="7">
        <v>45973</v>
      </c>
      <c r="C36" t="s">
        <v>29</v>
      </c>
      <c r="D36" t="s">
        <v>24</v>
      </c>
      <c r="E36" t="s">
        <v>40</v>
      </c>
      <c r="F36">
        <v>431982435</v>
      </c>
      <c r="G36">
        <v>803414125</v>
      </c>
      <c r="H36">
        <v>44038</v>
      </c>
      <c r="I36">
        <v>44152</v>
      </c>
      <c r="J36">
        <f>Table134567891011121323456789101112[[#This Row],[LOADED LITRES]]-Table134567891011121323456789101112[[#This Row],[Offloading Litres]]</f>
        <v>-114</v>
      </c>
      <c r="K36" t="s">
        <v>25</v>
      </c>
      <c r="L36">
        <v>76426262</v>
      </c>
      <c r="M36" t="s">
        <v>3047</v>
      </c>
      <c r="N36">
        <v>0.74299999999999999</v>
      </c>
      <c r="O36" s="8">
        <f>Table134567891011121323456789101112[[#This Row],[Offloading Litres]]*Table134567891011121323456789101112[[#This Row],[Rate]]</f>
        <v>32804.936000000002</v>
      </c>
      <c r="P36" s="9" t="s">
        <v>2927</v>
      </c>
      <c r="Q36" t="s">
        <v>3249</v>
      </c>
    </row>
    <row r="37" spans="1:17" x14ac:dyDescent="0.3">
      <c r="A37" s="7">
        <v>45974</v>
      </c>
      <c r="B37" s="7">
        <v>45975</v>
      </c>
      <c r="C37" t="s">
        <v>17</v>
      </c>
      <c r="D37" t="s">
        <v>19</v>
      </c>
      <c r="E37" t="s">
        <v>2449</v>
      </c>
      <c r="F37">
        <v>432510937</v>
      </c>
      <c r="G37">
        <v>803427674</v>
      </c>
      <c r="H37">
        <v>38709</v>
      </c>
      <c r="I37">
        <v>38813</v>
      </c>
      <c r="J37">
        <f>Table134567891011121323456789101112[[#This Row],[LOADED LITRES]]-Table134567891011121323456789101112[[#This Row],[Offloading Litres]]</f>
        <v>-104</v>
      </c>
      <c r="K37" t="s">
        <v>32</v>
      </c>
      <c r="L37" s="17" t="s">
        <v>3108</v>
      </c>
      <c r="M37" t="s">
        <v>3173</v>
      </c>
      <c r="N37">
        <v>0.56769999999999998</v>
      </c>
      <c r="O37" s="8">
        <f>Table134567891011121323456789101112[[#This Row],[Offloading Litres]]*Table134567891011121323456789101112[[#This Row],[Rate]]</f>
        <v>22034.140100000001</v>
      </c>
      <c r="P37" s="9" t="s">
        <v>2932</v>
      </c>
      <c r="Q37" t="s">
        <v>3252</v>
      </c>
    </row>
    <row r="38" spans="1:17" x14ac:dyDescent="0.3">
      <c r="A38" s="7">
        <v>45974</v>
      </c>
      <c r="B38" s="7">
        <v>45975</v>
      </c>
      <c r="C38" t="s">
        <v>30</v>
      </c>
      <c r="D38" t="s">
        <v>349</v>
      </c>
      <c r="E38" t="s">
        <v>2449</v>
      </c>
      <c r="F38">
        <v>432510943</v>
      </c>
      <c r="G38">
        <v>803428108</v>
      </c>
      <c r="H38">
        <v>38676</v>
      </c>
      <c r="I38">
        <v>38755</v>
      </c>
      <c r="J38">
        <f>Table134567891011121323456789101112[[#This Row],[LOADED LITRES]]-Table134567891011121323456789101112[[#This Row],[Offloading Litres]]</f>
        <v>-79</v>
      </c>
      <c r="K38" t="s">
        <v>32</v>
      </c>
      <c r="L38" s="18" t="s">
        <v>3109</v>
      </c>
      <c r="M38" t="s">
        <v>3174</v>
      </c>
      <c r="N38">
        <v>0.56769999999999998</v>
      </c>
      <c r="O38" s="8">
        <f>Table134567891011121323456789101112[[#This Row],[Offloading Litres]]*Table134567891011121323456789101112[[#This Row],[Rate]]</f>
        <v>22001.213499999998</v>
      </c>
      <c r="P38" s="9" t="s">
        <v>2933</v>
      </c>
      <c r="Q38" t="s">
        <v>3253</v>
      </c>
    </row>
    <row r="39" spans="1:17" x14ac:dyDescent="0.3">
      <c r="A39" s="7">
        <v>45974</v>
      </c>
      <c r="B39" s="7">
        <v>45976</v>
      </c>
      <c r="C39" t="s">
        <v>28</v>
      </c>
      <c r="D39" t="s">
        <v>33</v>
      </c>
      <c r="E39" t="s">
        <v>1778</v>
      </c>
      <c r="F39">
        <v>432540154</v>
      </c>
      <c r="G39">
        <v>803436434</v>
      </c>
      <c r="H39">
        <v>44158</v>
      </c>
      <c r="I39">
        <v>44194</v>
      </c>
      <c r="J39">
        <f>Table134567891011121323456789101112[[#This Row],[LOADED LITRES]]-Table134567891011121323456789101112[[#This Row],[Offloading Litres]]</f>
        <v>-36</v>
      </c>
      <c r="K39" t="s">
        <v>25</v>
      </c>
      <c r="L39">
        <v>76446709</v>
      </c>
      <c r="M39" t="s">
        <v>3048</v>
      </c>
      <c r="N39">
        <v>0.80210000000000004</v>
      </c>
      <c r="O39" s="8">
        <f>Table134567891011121323456789101112[[#This Row],[Offloading Litres]]*Table134567891011121323456789101112[[#This Row],[Rate]]</f>
        <v>35448.007400000002</v>
      </c>
      <c r="P39" s="9" t="s">
        <v>2935</v>
      </c>
      <c r="Q39" t="s">
        <v>3262</v>
      </c>
    </row>
    <row r="40" spans="1:17" x14ac:dyDescent="0.3">
      <c r="A40" s="7">
        <v>45974</v>
      </c>
      <c r="B40" s="7">
        <v>45976</v>
      </c>
      <c r="C40" t="s">
        <v>29</v>
      </c>
      <c r="D40" t="s">
        <v>24</v>
      </c>
      <c r="E40" t="s">
        <v>1351</v>
      </c>
      <c r="F40">
        <v>432505408</v>
      </c>
      <c r="G40">
        <v>803428655</v>
      </c>
      <c r="H40">
        <v>37662</v>
      </c>
      <c r="I40">
        <v>37711</v>
      </c>
      <c r="J40">
        <f>Table134567891011121323456789101112[[#This Row],[LOADED LITRES]]-Table134567891011121323456789101112[[#This Row],[Offloading Litres]]</f>
        <v>-49</v>
      </c>
      <c r="K40" t="s">
        <v>236</v>
      </c>
      <c r="L40" s="17" t="s">
        <v>3105</v>
      </c>
      <c r="M40" t="s">
        <v>3175</v>
      </c>
      <c r="N40">
        <v>0.69240000000000002</v>
      </c>
      <c r="O40" s="8">
        <f>Table134567891011121323456789101112[[#This Row],[Offloading Litres]]*Table134567891011121323456789101112[[#This Row],[Rate]]</f>
        <v>26111.096400000002</v>
      </c>
      <c r="P40" s="9" t="s">
        <v>2983</v>
      </c>
      <c r="Q40" t="s">
        <v>3247</v>
      </c>
    </row>
    <row r="41" spans="1:17" x14ac:dyDescent="0.3">
      <c r="A41" s="7">
        <v>45975</v>
      </c>
      <c r="B41" s="7">
        <v>45976</v>
      </c>
      <c r="C41" t="s">
        <v>34</v>
      </c>
      <c r="D41" t="s">
        <v>15</v>
      </c>
      <c r="E41" t="s">
        <v>1778</v>
      </c>
      <c r="F41">
        <v>432340155</v>
      </c>
      <c r="H41">
        <v>44290</v>
      </c>
      <c r="I41">
        <v>44446</v>
      </c>
      <c r="J41">
        <f>Table134567891011121323456789101112[[#This Row],[LOADED LITRES]]-Table134567891011121323456789101112[[#This Row],[Offloading Litres]]</f>
        <v>-156</v>
      </c>
      <c r="K41" t="s">
        <v>25</v>
      </c>
      <c r="L41">
        <v>76457789</v>
      </c>
      <c r="M41" t="s">
        <v>3049</v>
      </c>
      <c r="N41">
        <v>0.80210000000000004</v>
      </c>
      <c r="O41" s="8">
        <f>Table134567891011121323456789101112[[#This Row],[Offloading Litres]]*Table134567891011121323456789101112[[#This Row],[Rate]]</f>
        <v>35650.136599999998</v>
      </c>
      <c r="P41" s="9" t="s">
        <v>2940</v>
      </c>
      <c r="Q41" t="s">
        <v>3264</v>
      </c>
    </row>
    <row r="42" spans="1:17" x14ac:dyDescent="0.3">
      <c r="A42" s="7">
        <v>45975</v>
      </c>
      <c r="B42" s="7">
        <v>45976</v>
      </c>
      <c r="C42" t="s">
        <v>21</v>
      </c>
      <c r="D42" t="s">
        <v>27</v>
      </c>
      <c r="E42" t="s">
        <v>1778</v>
      </c>
      <c r="F42">
        <v>432339283</v>
      </c>
      <c r="H42">
        <v>39331</v>
      </c>
      <c r="I42">
        <v>39396</v>
      </c>
      <c r="J42">
        <f>Table134567891011121323456789101112[[#This Row],[LOADED LITRES]]-Table134567891011121323456789101112[[#This Row],[Offloading Litres]]</f>
        <v>-65</v>
      </c>
      <c r="K42" t="s">
        <v>32</v>
      </c>
      <c r="L42">
        <v>76457816</v>
      </c>
      <c r="M42" t="s">
        <v>3050</v>
      </c>
      <c r="N42">
        <v>0.80210000000000004</v>
      </c>
      <c r="O42" s="8">
        <f>Table134567891011121323456789101112[[#This Row],[Offloading Litres]]*Table134567891011121323456789101112[[#This Row],[Rate]]</f>
        <v>31599.531600000002</v>
      </c>
      <c r="P42" s="9" t="s">
        <v>2937</v>
      </c>
      <c r="Q42" t="s">
        <v>3263</v>
      </c>
    </row>
    <row r="43" spans="1:17" x14ac:dyDescent="0.3">
      <c r="A43" s="7">
        <v>45975</v>
      </c>
      <c r="B43" s="7">
        <v>45977</v>
      </c>
      <c r="C43" t="s">
        <v>22</v>
      </c>
      <c r="D43" t="s">
        <v>2906</v>
      </c>
      <c r="E43" t="s">
        <v>2449</v>
      </c>
      <c r="F43">
        <v>432508220</v>
      </c>
      <c r="G43">
        <v>803431290</v>
      </c>
      <c r="H43">
        <v>39298</v>
      </c>
      <c r="I43">
        <v>39301</v>
      </c>
      <c r="J43">
        <f>Table134567891011121323456789101112[[#This Row],[LOADED LITRES]]-Table134567891011121323456789101112[[#This Row],[Offloading Litres]]</f>
        <v>-3</v>
      </c>
      <c r="K43" t="s">
        <v>32</v>
      </c>
      <c r="L43" s="17" t="s">
        <v>3107</v>
      </c>
      <c r="M43" t="s">
        <v>3176</v>
      </c>
      <c r="N43">
        <v>0.56769999999999998</v>
      </c>
      <c r="O43" s="8">
        <f>Table134567891011121323456789101112[[#This Row],[Offloading Litres]]*Table134567891011121323456789101112[[#This Row],[Rate]]</f>
        <v>22311.1777</v>
      </c>
      <c r="P43" s="9" t="s">
        <v>2941</v>
      </c>
      <c r="Q43" t="s">
        <v>3261</v>
      </c>
    </row>
    <row r="44" spans="1:17" x14ac:dyDescent="0.3">
      <c r="A44" s="7">
        <v>45975</v>
      </c>
      <c r="B44" s="7">
        <v>45975</v>
      </c>
      <c r="C44" t="s">
        <v>22</v>
      </c>
      <c r="D44" t="s">
        <v>2906</v>
      </c>
      <c r="E44" t="s">
        <v>2449</v>
      </c>
      <c r="F44">
        <v>432508156</v>
      </c>
      <c r="G44">
        <v>803431576</v>
      </c>
      <c r="H44">
        <v>39768</v>
      </c>
      <c r="I44">
        <v>39929</v>
      </c>
      <c r="J44">
        <f>Table134567891011121323456789101112[[#This Row],[LOADED LITRES]]-Table134567891011121323456789101112[[#This Row],[Offloading Litres]]</f>
        <v>-161</v>
      </c>
      <c r="K44" t="s">
        <v>32</v>
      </c>
      <c r="L44" s="18" t="s">
        <v>3106</v>
      </c>
      <c r="M44" t="s">
        <v>3177</v>
      </c>
      <c r="N44">
        <v>0.56769999999999998</v>
      </c>
      <c r="O44" s="8">
        <f>Table134567891011121323456789101112[[#This Row],[Offloading Litres]]*Table134567891011121323456789101112[[#This Row],[Rate]]</f>
        <v>22667.693299999999</v>
      </c>
      <c r="P44" s="9" t="s">
        <v>2982</v>
      </c>
      <c r="Q44" t="s">
        <v>3303</v>
      </c>
    </row>
    <row r="45" spans="1:17" x14ac:dyDescent="0.3">
      <c r="A45" s="7">
        <v>45975</v>
      </c>
      <c r="B45" s="7">
        <v>45976</v>
      </c>
      <c r="C45" t="s">
        <v>1794</v>
      </c>
      <c r="D45" t="s">
        <v>35</v>
      </c>
      <c r="E45" t="s">
        <v>2938</v>
      </c>
      <c r="F45">
        <v>432572905</v>
      </c>
      <c r="G45">
        <v>803435094</v>
      </c>
      <c r="H45">
        <v>39684</v>
      </c>
      <c r="I45">
        <v>39674</v>
      </c>
      <c r="J45">
        <f>Table134567891011121323456789101112[[#This Row],[LOADED LITRES]]-Table134567891011121323456789101112[[#This Row],[Offloading Litres]]</f>
        <v>10</v>
      </c>
      <c r="K45" t="s">
        <v>32</v>
      </c>
      <c r="L45" s="17" t="s">
        <v>3112</v>
      </c>
      <c r="M45" t="s">
        <v>3178</v>
      </c>
      <c r="N45">
        <v>0.62119999999999997</v>
      </c>
      <c r="O45" s="8">
        <f>Table134567891011121323456789101112[[#This Row],[Offloading Litres]]*Table134567891011121323456789101112[[#This Row],[Rate]]</f>
        <v>24645.488799999999</v>
      </c>
      <c r="P45" s="9" t="s">
        <v>2939</v>
      </c>
      <c r="Q45" t="s">
        <v>3260</v>
      </c>
    </row>
    <row r="46" spans="1:17" x14ac:dyDescent="0.3">
      <c r="A46" s="7">
        <v>45976</v>
      </c>
      <c r="B46" s="7">
        <v>45977</v>
      </c>
      <c r="C46" t="s">
        <v>23</v>
      </c>
      <c r="D46" t="s">
        <v>2896</v>
      </c>
      <c r="E46" t="s">
        <v>1778</v>
      </c>
      <c r="F46">
        <v>432340152</v>
      </c>
      <c r="H46">
        <v>44245</v>
      </c>
      <c r="I46">
        <v>44269</v>
      </c>
      <c r="J46">
        <f>Table134567891011121323456789101112[[#This Row],[LOADED LITRES]]-Table134567891011121323456789101112[[#This Row],[Offloading Litres]]</f>
        <v>-24</v>
      </c>
      <c r="K46" t="s">
        <v>25</v>
      </c>
      <c r="L46">
        <v>76457540</v>
      </c>
      <c r="M46" t="s">
        <v>3051</v>
      </c>
      <c r="N46">
        <v>0.79979999999999996</v>
      </c>
      <c r="O46" s="8">
        <f>Table134567891011121323456789101112[[#This Row],[Offloading Litres]]*Table134567891011121323456789101112[[#This Row],[Rate]]</f>
        <v>35406.3462</v>
      </c>
      <c r="P46" s="9" t="s">
        <v>2942</v>
      </c>
      <c r="Q46" t="s">
        <v>3304</v>
      </c>
    </row>
    <row r="47" spans="1:17" x14ac:dyDescent="0.3">
      <c r="A47" s="7">
        <v>45976</v>
      </c>
      <c r="B47" s="7">
        <v>45977</v>
      </c>
      <c r="C47" t="s">
        <v>30</v>
      </c>
      <c r="D47" t="s">
        <v>349</v>
      </c>
      <c r="E47" t="s">
        <v>1778</v>
      </c>
      <c r="F47">
        <v>432340151</v>
      </c>
      <c r="H47">
        <v>44080</v>
      </c>
      <c r="I47">
        <v>44034</v>
      </c>
      <c r="J47">
        <f>Table134567891011121323456789101112[[#This Row],[LOADED LITRES]]-Table134567891011121323456789101112[[#This Row],[Offloading Litres]]</f>
        <v>46</v>
      </c>
      <c r="K47" t="s">
        <v>25</v>
      </c>
      <c r="L47">
        <v>76454805</v>
      </c>
      <c r="M47" t="s">
        <v>3052</v>
      </c>
      <c r="N47">
        <v>0.79979999999999996</v>
      </c>
      <c r="O47" s="8">
        <f>Table134567891011121323456789101112[[#This Row],[Offloading Litres]]*Table134567891011121323456789101112[[#This Row],[Rate]]</f>
        <v>35218.393199999999</v>
      </c>
      <c r="P47" s="9" t="s">
        <v>2943</v>
      </c>
      <c r="Q47" t="s">
        <v>3305</v>
      </c>
    </row>
    <row r="48" spans="1:17" x14ac:dyDescent="0.3">
      <c r="A48" s="7">
        <v>45976</v>
      </c>
      <c r="B48" s="7">
        <v>45976</v>
      </c>
      <c r="C48" t="s">
        <v>29</v>
      </c>
      <c r="D48" t="s">
        <v>24</v>
      </c>
      <c r="E48" t="s">
        <v>40</v>
      </c>
      <c r="F48">
        <v>432592819</v>
      </c>
      <c r="G48">
        <v>803439683</v>
      </c>
      <c r="H48">
        <v>39654</v>
      </c>
      <c r="I48">
        <v>39521</v>
      </c>
      <c r="J48">
        <f>Table134567891011121323456789101112[[#This Row],[LOADED LITRES]]-Table134567891011121323456789101112[[#This Row],[Offloading Litres]]</f>
        <v>133</v>
      </c>
      <c r="K48" t="s">
        <v>32</v>
      </c>
      <c r="L48">
        <v>76450098</v>
      </c>
      <c r="M48" t="s">
        <v>3053</v>
      </c>
      <c r="N48">
        <v>0.7409</v>
      </c>
      <c r="O48" s="8">
        <f>Table134567891011121323456789101112[[#This Row],[Offloading Litres]]*Table134567891011121323456789101112[[#This Row],[Rate]]</f>
        <v>29281.108899999999</v>
      </c>
      <c r="P48" s="9" t="s">
        <v>2947</v>
      </c>
      <c r="Q48" t="s">
        <v>3268</v>
      </c>
    </row>
    <row r="49" spans="1:17" x14ac:dyDescent="0.3">
      <c r="A49" s="7">
        <v>45977</v>
      </c>
      <c r="B49" s="7">
        <v>45978</v>
      </c>
      <c r="C49" t="s">
        <v>1794</v>
      </c>
      <c r="D49" t="s">
        <v>35</v>
      </c>
      <c r="E49" t="s">
        <v>2449</v>
      </c>
      <c r="F49">
        <v>432574159</v>
      </c>
      <c r="G49">
        <v>803440256</v>
      </c>
      <c r="H49">
        <v>39875</v>
      </c>
      <c r="I49">
        <v>39646</v>
      </c>
      <c r="J49">
        <f>Table134567891011121323456789101112[[#This Row],[LOADED LITRES]]-Table134567891011121323456789101112[[#This Row],[Offloading Litres]]</f>
        <v>229</v>
      </c>
      <c r="K49" t="s">
        <v>32</v>
      </c>
      <c r="L49" s="17" t="s">
        <v>3110</v>
      </c>
      <c r="M49" t="s">
        <v>3179</v>
      </c>
      <c r="N49">
        <v>0.56769999999999998</v>
      </c>
      <c r="O49" s="8">
        <f>Table134567891011121323456789101112[[#This Row],[Offloading Litres]]*Table134567891011121323456789101112[[#This Row],[Rate]]</f>
        <v>22507.034199999998</v>
      </c>
      <c r="P49" s="9" t="s">
        <v>2945</v>
      </c>
      <c r="Q49" t="s">
        <v>3267</v>
      </c>
    </row>
    <row r="50" spans="1:17" x14ac:dyDescent="0.3">
      <c r="A50" s="7">
        <v>45977</v>
      </c>
      <c r="B50" s="7">
        <v>45979</v>
      </c>
      <c r="C50" t="s">
        <v>28</v>
      </c>
      <c r="D50" t="s">
        <v>33</v>
      </c>
      <c r="E50" t="s">
        <v>40</v>
      </c>
      <c r="F50">
        <v>432592697</v>
      </c>
      <c r="G50">
        <v>803440251</v>
      </c>
      <c r="H50">
        <v>39666</v>
      </c>
      <c r="I50">
        <v>39587</v>
      </c>
      <c r="J50">
        <f>Table134567891011121323456789101112[[#This Row],[LOADED LITRES]]-Table134567891011121323456789101112[[#This Row],[Offloading Litres]]</f>
        <v>79</v>
      </c>
      <c r="K50" t="s">
        <v>32</v>
      </c>
      <c r="L50">
        <v>76450730</v>
      </c>
      <c r="M50" t="s">
        <v>3054</v>
      </c>
      <c r="N50">
        <v>0.7409</v>
      </c>
      <c r="O50" s="8">
        <f>Table134567891011121323456789101112[[#This Row],[Offloading Litres]]*Table134567891011121323456789101112[[#This Row],[Rate]]</f>
        <v>29330.008300000001</v>
      </c>
      <c r="P50" s="9" t="s">
        <v>2936</v>
      </c>
      <c r="Q50" t="s">
        <v>3274</v>
      </c>
    </row>
    <row r="51" spans="1:17" x14ac:dyDescent="0.3">
      <c r="A51" s="7">
        <v>45977</v>
      </c>
      <c r="B51" s="7">
        <v>45978</v>
      </c>
      <c r="C51" t="s">
        <v>34</v>
      </c>
      <c r="D51" t="s">
        <v>15</v>
      </c>
      <c r="E51" t="s">
        <v>2449</v>
      </c>
      <c r="F51">
        <v>432572992</v>
      </c>
      <c r="G51">
        <v>803440282</v>
      </c>
      <c r="H51">
        <v>38873</v>
      </c>
      <c r="I51">
        <v>38759</v>
      </c>
      <c r="J51">
        <f>Table134567891011121323456789101112[[#This Row],[LOADED LITRES]]-Table134567891011121323456789101112[[#This Row],[Offloading Litres]]</f>
        <v>114</v>
      </c>
      <c r="K51" t="s">
        <v>32</v>
      </c>
      <c r="L51" s="17" t="s">
        <v>3111</v>
      </c>
      <c r="M51" t="s">
        <v>3180</v>
      </c>
      <c r="N51">
        <v>0.56769999999999998</v>
      </c>
      <c r="O51" s="8">
        <f>Table134567891011121323456789101112[[#This Row],[Offloading Litres]]*Table134567891011121323456789101112[[#This Row],[Rate]]</f>
        <v>22003.4843</v>
      </c>
      <c r="P51" s="9" t="s">
        <v>2944</v>
      </c>
      <c r="Q51" t="s">
        <v>3265</v>
      </c>
    </row>
    <row r="52" spans="1:17" x14ac:dyDescent="0.3">
      <c r="A52" s="7">
        <v>45977</v>
      </c>
      <c r="B52" s="7">
        <v>45978</v>
      </c>
      <c r="C52" t="s">
        <v>21</v>
      </c>
      <c r="D52" t="s">
        <v>27</v>
      </c>
      <c r="E52" t="s">
        <v>40</v>
      </c>
      <c r="F52">
        <v>432633014</v>
      </c>
      <c r="G52">
        <v>803440291</v>
      </c>
      <c r="H52">
        <v>44717</v>
      </c>
      <c r="I52">
        <v>44471</v>
      </c>
      <c r="J52">
        <f>Table134567891011121323456789101112[[#This Row],[LOADED LITRES]]-Table134567891011121323456789101112[[#This Row],[Offloading Litres]]</f>
        <v>246</v>
      </c>
      <c r="K52" t="s">
        <v>25</v>
      </c>
      <c r="L52">
        <v>76450778</v>
      </c>
      <c r="M52" t="s">
        <v>3055</v>
      </c>
      <c r="N52">
        <v>0.7409</v>
      </c>
      <c r="O52" s="8">
        <f>Table134567891011121323456789101112[[#This Row],[Offloading Litres]]*Table134567891011121323456789101112[[#This Row],[Rate]]</f>
        <v>32948.563900000001</v>
      </c>
      <c r="P52" s="9" t="s">
        <v>2948</v>
      </c>
      <c r="Q52" t="s">
        <v>3266</v>
      </c>
    </row>
    <row r="53" spans="1:17" x14ac:dyDescent="0.3">
      <c r="A53" s="7">
        <v>45977</v>
      </c>
      <c r="B53" s="7">
        <v>45979</v>
      </c>
      <c r="C53" t="s">
        <v>22</v>
      </c>
      <c r="D53" t="s">
        <v>2906</v>
      </c>
      <c r="E53" t="s">
        <v>40</v>
      </c>
      <c r="F53">
        <v>432592838</v>
      </c>
      <c r="G53">
        <v>803440428</v>
      </c>
      <c r="H53">
        <v>39858</v>
      </c>
      <c r="I53">
        <v>39837</v>
      </c>
      <c r="J53">
        <f>Table134567891011121323456789101112[[#This Row],[LOADED LITRES]]-Table134567891011121323456789101112[[#This Row],[Offloading Litres]]</f>
        <v>21</v>
      </c>
      <c r="K53" t="s">
        <v>32</v>
      </c>
      <c r="L53">
        <v>76450917</v>
      </c>
      <c r="M53" t="s">
        <v>3056</v>
      </c>
      <c r="N53">
        <v>0.7409</v>
      </c>
      <c r="O53" s="8">
        <f>Table134567891011121323456789101112[[#This Row],[Offloading Litres]]*Table134567891011121323456789101112[[#This Row],[Rate]]</f>
        <v>29515.2333</v>
      </c>
      <c r="P53" s="9" t="s">
        <v>2950</v>
      </c>
      <c r="Q53" t="s">
        <v>3275</v>
      </c>
    </row>
    <row r="54" spans="1:17" x14ac:dyDescent="0.3">
      <c r="A54" s="7">
        <v>45978</v>
      </c>
      <c r="B54" s="7">
        <v>45979</v>
      </c>
      <c r="C54" t="s">
        <v>23</v>
      </c>
      <c r="D54" t="s">
        <v>2896</v>
      </c>
      <c r="E54" t="s">
        <v>16</v>
      </c>
      <c r="F54">
        <v>432622130</v>
      </c>
      <c r="G54">
        <v>803440502</v>
      </c>
      <c r="H54">
        <v>44091</v>
      </c>
      <c r="I54">
        <v>43951</v>
      </c>
      <c r="J54">
        <f>Table134567891011121323456789101112[[#This Row],[LOADED LITRES]]-Table134567891011121323456789101112[[#This Row],[Offloading Litres]]</f>
        <v>140</v>
      </c>
      <c r="K54" t="s">
        <v>25</v>
      </c>
      <c r="L54">
        <v>76451039</v>
      </c>
      <c r="M54" t="s">
        <v>3057</v>
      </c>
      <c r="N54">
        <v>0.68520000000000003</v>
      </c>
      <c r="O54" s="8">
        <f>Table134567891011121323456789101112[[#This Row],[Offloading Litres]]*Table134567891011121323456789101112[[#This Row],[Rate]]</f>
        <v>30115.225200000001</v>
      </c>
      <c r="P54" s="9" t="s">
        <v>2949</v>
      </c>
      <c r="Q54" t="s">
        <v>3276</v>
      </c>
    </row>
    <row r="55" spans="1:17" x14ac:dyDescent="0.3">
      <c r="A55" s="7">
        <v>45978</v>
      </c>
      <c r="B55" s="7">
        <v>45979</v>
      </c>
      <c r="C55" t="s">
        <v>30</v>
      </c>
      <c r="D55" t="s">
        <v>349</v>
      </c>
      <c r="E55" t="s">
        <v>40</v>
      </c>
      <c r="F55">
        <v>432592699</v>
      </c>
      <c r="G55">
        <v>803441240</v>
      </c>
      <c r="H55">
        <v>38879</v>
      </c>
      <c r="I55">
        <v>38917</v>
      </c>
      <c r="J55">
        <f>Table134567891011121323456789101112[[#This Row],[LOADED LITRES]]-Table134567891011121323456789101112[[#This Row],[Offloading Litres]]</f>
        <v>-38</v>
      </c>
      <c r="K55" t="s">
        <v>32</v>
      </c>
      <c r="L55">
        <v>76451874</v>
      </c>
      <c r="M55" t="s">
        <v>3058</v>
      </c>
      <c r="N55">
        <v>0.7409</v>
      </c>
      <c r="O55" s="8">
        <f>Table134567891011121323456789101112[[#This Row],[Offloading Litres]]*Table134567891011121323456789101112[[#This Row],[Rate]]</f>
        <v>28833.605299999999</v>
      </c>
      <c r="P55" s="9" t="s">
        <v>2951</v>
      </c>
      <c r="Q55" t="s">
        <v>3273</v>
      </c>
    </row>
    <row r="56" spans="1:17" x14ac:dyDescent="0.3">
      <c r="A56" s="7">
        <v>45976</v>
      </c>
      <c r="B56" s="7">
        <v>45978</v>
      </c>
      <c r="C56" t="s">
        <v>17</v>
      </c>
      <c r="D56" t="s">
        <v>19</v>
      </c>
      <c r="E56" t="s">
        <v>40</v>
      </c>
      <c r="F56">
        <v>432592832</v>
      </c>
      <c r="G56">
        <v>803439517</v>
      </c>
      <c r="H56">
        <v>38849</v>
      </c>
      <c r="I56">
        <v>38715</v>
      </c>
      <c r="J56">
        <f>Table134567891011121323456789101112[[#This Row],[LOADED LITRES]]-Table134567891011121323456789101112[[#This Row],[Offloading Litres]]</f>
        <v>134</v>
      </c>
      <c r="K56" t="s">
        <v>32</v>
      </c>
      <c r="L56">
        <v>76450058</v>
      </c>
      <c r="M56" t="s">
        <v>3059</v>
      </c>
      <c r="N56">
        <v>0.7409</v>
      </c>
      <c r="O56" s="8">
        <f>Table134567891011121323456789101112[[#This Row],[Offloading Litres]]*Table134567891011121323456789101112[[#This Row],[Rate]]</f>
        <v>28683.943500000001</v>
      </c>
      <c r="P56" s="9" t="s">
        <v>2946</v>
      </c>
      <c r="Q56" t="s">
        <v>3269</v>
      </c>
    </row>
    <row r="57" spans="1:17" x14ac:dyDescent="0.3">
      <c r="A57" s="7">
        <v>45979</v>
      </c>
      <c r="B57" s="7">
        <v>45980</v>
      </c>
      <c r="C57" t="s">
        <v>1794</v>
      </c>
      <c r="D57" t="s">
        <v>35</v>
      </c>
      <c r="E57" t="s">
        <v>2984</v>
      </c>
      <c r="F57">
        <v>432669195</v>
      </c>
      <c r="G57">
        <v>803447467</v>
      </c>
      <c r="H57">
        <v>39814</v>
      </c>
      <c r="I57">
        <v>39477</v>
      </c>
      <c r="J57">
        <f>Table134567891011121323456789101112[[#This Row],[LOADED LITRES]]-Table134567891011121323456789101112[[#This Row],[Offloading Litres]]</f>
        <v>337</v>
      </c>
      <c r="K57" t="s">
        <v>32</v>
      </c>
      <c r="L57" s="17" t="s">
        <v>3115</v>
      </c>
      <c r="M57" t="s">
        <v>3181</v>
      </c>
      <c r="N57">
        <v>0.6008</v>
      </c>
      <c r="O57" s="8">
        <f>Table134567891011121323456789101112[[#This Row],[Offloading Litres]]*Table134567891011121323456789101112[[#This Row],[Rate]]</f>
        <v>23717.781599999998</v>
      </c>
      <c r="P57" s="9" t="s">
        <v>2952</v>
      </c>
      <c r="Q57" t="s">
        <v>3270</v>
      </c>
    </row>
    <row r="58" spans="1:17" x14ac:dyDescent="0.3">
      <c r="A58" s="7">
        <v>45979</v>
      </c>
      <c r="B58" s="7">
        <v>45980</v>
      </c>
      <c r="C58" t="s">
        <v>34</v>
      </c>
      <c r="D58" t="s">
        <v>15</v>
      </c>
      <c r="E58" t="s">
        <v>2984</v>
      </c>
      <c r="F58">
        <v>432669204</v>
      </c>
      <c r="G58">
        <v>803447676</v>
      </c>
      <c r="H58">
        <v>38816</v>
      </c>
      <c r="I58">
        <v>38866</v>
      </c>
      <c r="J58">
        <f>Table134567891011121323456789101112[[#This Row],[LOADED LITRES]]-Table134567891011121323456789101112[[#This Row],[Offloading Litres]]</f>
        <v>-50</v>
      </c>
      <c r="K58" t="s">
        <v>32</v>
      </c>
      <c r="L58" s="17" t="s">
        <v>3116</v>
      </c>
      <c r="M58" t="s">
        <v>3182</v>
      </c>
      <c r="N58">
        <v>0.6008</v>
      </c>
      <c r="O58" s="8">
        <f>Table134567891011121323456789101112[[#This Row],[Offloading Litres]]*Table134567891011121323456789101112[[#This Row],[Rate]]</f>
        <v>23350.692800000001</v>
      </c>
      <c r="P58" s="9" t="s">
        <v>2954</v>
      </c>
      <c r="Q58" t="s">
        <v>3271</v>
      </c>
    </row>
    <row r="59" spans="1:17" x14ac:dyDescent="0.3">
      <c r="A59" s="7">
        <v>45979</v>
      </c>
      <c r="B59" s="7">
        <v>45980</v>
      </c>
      <c r="C59" t="s">
        <v>17</v>
      </c>
      <c r="D59" t="s">
        <v>19</v>
      </c>
      <c r="E59" t="s">
        <v>2984</v>
      </c>
      <c r="F59">
        <v>432669219</v>
      </c>
      <c r="G59">
        <v>803449317</v>
      </c>
      <c r="H59">
        <v>38789</v>
      </c>
      <c r="I59">
        <v>38778</v>
      </c>
      <c r="J59">
        <f>Table134567891011121323456789101112[[#This Row],[LOADED LITRES]]-Table134567891011121323456789101112[[#This Row],[Offloading Litres]]</f>
        <v>11</v>
      </c>
      <c r="K59" t="s">
        <v>32</v>
      </c>
      <c r="L59" s="18" t="s">
        <v>3117</v>
      </c>
      <c r="M59" t="s">
        <v>3183</v>
      </c>
      <c r="N59">
        <v>0.6008</v>
      </c>
      <c r="O59" s="8">
        <f>Table134567891011121323456789101112[[#This Row],[Offloading Litres]]*Table134567891011121323456789101112[[#This Row],[Rate]]</f>
        <v>23297.822400000001</v>
      </c>
      <c r="P59" s="9" t="s">
        <v>2953</v>
      </c>
      <c r="Q59" t="s">
        <v>3272</v>
      </c>
    </row>
    <row r="60" spans="1:17" x14ac:dyDescent="0.3">
      <c r="A60" s="7">
        <v>45979</v>
      </c>
      <c r="B60" s="7">
        <v>45981</v>
      </c>
      <c r="C60" t="s">
        <v>21</v>
      </c>
      <c r="D60" t="s">
        <v>27</v>
      </c>
      <c r="E60" t="s">
        <v>40</v>
      </c>
      <c r="F60">
        <v>432670783</v>
      </c>
      <c r="G60">
        <v>803451865</v>
      </c>
      <c r="H60">
        <v>39385</v>
      </c>
      <c r="I60">
        <v>39497</v>
      </c>
      <c r="J60">
        <f>Table134567891011121323456789101112[[#This Row],[LOADED LITRES]]-Table134567891011121323456789101112[[#This Row],[Offloading Litres]]</f>
        <v>-112</v>
      </c>
      <c r="K60" t="s">
        <v>32</v>
      </c>
      <c r="L60">
        <v>76461221</v>
      </c>
      <c r="M60" t="s">
        <v>3060</v>
      </c>
      <c r="N60">
        <v>0.7409</v>
      </c>
      <c r="O60" s="8">
        <f>Table134567891011121323456789101112[[#This Row],[Offloading Litres]]*Table134567891011121323456789101112[[#This Row],[Rate]]</f>
        <v>29263.327300000001</v>
      </c>
      <c r="P60" s="9" t="s">
        <v>2958</v>
      </c>
      <c r="Q60" t="s">
        <v>3296</v>
      </c>
    </row>
    <row r="61" spans="1:17" x14ac:dyDescent="0.3">
      <c r="A61" s="7">
        <v>45979</v>
      </c>
      <c r="B61" s="7">
        <v>45981</v>
      </c>
      <c r="C61" t="s">
        <v>29</v>
      </c>
      <c r="D61" t="s">
        <v>24</v>
      </c>
      <c r="E61" t="s">
        <v>40</v>
      </c>
      <c r="F61">
        <v>432669558</v>
      </c>
      <c r="G61">
        <v>803451887</v>
      </c>
      <c r="H61">
        <v>39581</v>
      </c>
      <c r="I61">
        <v>39631</v>
      </c>
      <c r="J61">
        <f>Table134567891011121323456789101112[[#This Row],[LOADED LITRES]]-Table134567891011121323456789101112[[#This Row],[Offloading Litres]]</f>
        <v>-50</v>
      </c>
      <c r="K61" t="s">
        <v>32</v>
      </c>
      <c r="L61">
        <v>76461257</v>
      </c>
      <c r="M61" t="s">
        <v>3061</v>
      </c>
      <c r="N61">
        <v>0.7409</v>
      </c>
      <c r="O61" s="8">
        <f>Table134567891011121323456789101112[[#This Row],[Offloading Litres]]*Table134567891011121323456789101112[[#This Row],[Rate]]</f>
        <v>29362.607899999999</v>
      </c>
      <c r="P61" s="9" t="s">
        <v>2955</v>
      </c>
      <c r="Q61" t="s">
        <v>3298</v>
      </c>
    </row>
    <row r="62" spans="1:17" x14ac:dyDescent="0.3">
      <c r="A62" s="7">
        <v>45980</v>
      </c>
      <c r="B62" s="7">
        <v>45981</v>
      </c>
      <c r="C62" t="s">
        <v>22</v>
      </c>
      <c r="D62" t="s">
        <v>2906</v>
      </c>
      <c r="E62" t="s">
        <v>40</v>
      </c>
      <c r="F62">
        <v>432670770</v>
      </c>
      <c r="G62">
        <v>803454098</v>
      </c>
      <c r="H62">
        <v>44010</v>
      </c>
      <c r="I62">
        <v>44258</v>
      </c>
      <c r="J62">
        <f>Table134567891011121323456789101112[[#This Row],[LOADED LITRES]]-Table134567891011121323456789101112[[#This Row],[Offloading Litres]]</f>
        <v>-248</v>
      </c>
      <c r="K62" t="s">
        <v>25</v>
      </c>
      <c r="L62">
        <v>76462927</v>
      </c>
      <c r="M62" t="s">
        <v>3062</v>
      </c>
      <c r="N62">
        <v>0.7409</v>
      </c>
      <c r="O62" s="8">
        <f>Table134567891011121323456789101112[[#This Row],[Offloading Litres]]*Table134567891011121323456789101112[[#This Row],[Rate]]</f>
        <v>32790.752200000003</v>
      </c>
      <c r="P62" s="9" t="s">
        <v>2934</v>
      </c>
      <c r="Q62" t="s">
        <v>3293</v>
      </c>
    </row>
    <row r="63" spans="1:17" x14ac:dyDescent="0.3">
      <c r="A63" s="7">
        <v>45980</v>
      </c>
      <c r="B63" s="7">
        <v>45982</v>
      </c>
      <c r="C63" t="s">
        <v>23</v>
      </c>
      <c r="D63" t="s">
        <v>2896</v>
      </c>
      <c r="E63" t="s">
        <v>40</v>
      </c>
      <c r="F63">
        <v>432670959</v>
      </c>
      <c r="G63">
        <v>803454733</v>
      </c>
      <c r="H63">
        <v>38684</v>
      </c>
      <c r="I63">
        <v>38767</v>
      </c>
      <c r="J63">
        <f>Table134567891011121323456789101112[[#This Row],[LOADED LITRES]]-Table134567891011121323456789101112[[#This Row],[Offloading Litres]]</f>
        <v>-83</v>
      </c>
      <c r="K63" t="s">
        <v>32</v>
      </c>
      <c r="L63">
        <v>76463492</v>
      </c>
      <c r="M63" t="s">
        <v>3063</v>
      </c>
      <c r="N63">
        <v>0.7409</v>
      </c>
      <c r="O63" s="8">
        <f>Table134567891011121323456789101112[[#This Row],[Offloading Litres]]*Table134567891011121323456789101112[[#This Row],[Rate]]</f>
        <v>28722.470300000001</v>
      </c>
      <c r="P63" s="9" t="s">
        <v>2961</v>
      </c>
      <c r="Q63" t="s">
        <v>3295</v>
      </c>
    </row>
    <row r="64" spans="1:17" x14ac:dyDescent="0.3">
      <c r="A64" s="7">
        <v>45980</v>
      </c>
      <c r="B64" s="7">
        <v>45981</v>
      </c>
      <c r="C64" t="s">
        <v>28</v>
      </c>
      <c r="D64" t="s">
        <v>33</v>
      </c>
      <c r="E64" t="s">
        <v>16</v>
      </c>
      <c r="F64">
        <v>432045560</v>
      </c>
      <c r="G64">
        <v>803455141</v>
      </c>
      <c r="H64">
        <v>44581</v>
      </c>
      <c r="I64">
        <v>44304</v>
      </c>
      <c r="J64">
        <f>Table134567891011121323456789101112[[#This Row],[LOADED LITRES]]-Table134567891011121323456789101112[[#This Row],[Offloading Litres]]</f>
        <v>277</v>
      </c>
      <c r="K64" t="s">
        <v>25</v>
      </c>
      <c r="L64">
        <v>76463990</v>
      </c>
      <c r="M64" t="s">
        <v>3064</v>
      </c>
      <c r="N64">
        <v>0.68520000000000003</v>
      </c>
      <c r="O64" s="8">
        <f>Table134567891011121323456789101112[[#This Row],[Offloading Litres]]*Table134567891011121323456789101112[[#This Row],[Rate]]</f>
        <v>30357.1008</v>
      </c>
      <c r="P64" s="9" t="s">
        <v>2956</v>
      </c>
      <c r="Q64" t="s">
        <v>3294</v>
      </c>
    </row>
    <row r="65" spans="1:17" x14ac:dyDescent="0.3">
      <c r="A65" s="7">
        <v>45980</v>
      </c>
      <c r="B65" s="7">
        <v>45981</v>
      </c>
      <c r="C65" t="s">
        <v>34</v>
      </c>
      <c r="D65" t="s">
        <v>15</v>
      </c>
      <c r="E65" t="s">
        <v>2984</v>
      </c>
      <c r="F65">
        <v>432739204</v>
      </c>
      <c r="G65">
        <v>803457071</v>
      </c>
      <c r="H65">
        <v>38777</v>
      </c>
      <c r="I65">
        <v>38845</v>
      </c>
      <c r="J65">
        <f>Table134567891011121323456789101112[[#This Row],[LOADED LITRES]]-Table134567891011121323456789101112[[#This Row],[Offloading Litres]]</f>
        <v>-68</v>
      </c>
      <c r="K65" t="s">
        <v>32</v>
      </c>
      <c r="L65" s="17" t="s">
        <v>3120</v>
      </c>
      <c r="M65" t="s">
        <v>3184</v>
      </c>
      <c r="N65">
        <v>0.6008</v>
      </c>
      <c r="O65" s="8">
        <f>Table134567891011121323456789101112[[#This Row],[Offloading Litres]]*Table134567891011121323456789101112[[#This Row],[Rate]]</f>
        <v>23338.076000000001</v>
      </c>
      <c r="P65" s="9" t="s">
        <v>2957</v>
      </c>
      <c r="Q65" t="s">
        <v>3290</v>
      </c>
    </row>
    <row r="66" spans="1:17" x14ac:dyDescent="0.3">
      <c r="A66" s="7">
        <v>45980</v>
      </c>
      <c r="B66" s="7">
        <v>45981</v>
      </c>
      <c r="C66" t="s">
        <v>30</v>
      </c>
      <c r="D66" t="s">
        <v>349</v>
      </c>
      <c r="E66" t="s">
        <v>16</v>
      </c>
      <c r="F66">
        <v>432622133</v>
      </c>
      <c r="G66">
        <v>803457073</v>
      </c>
      <c r="H66">
        <v>43940</v>
      </c>
      <c r="I66">
        <v>44180</v>
      </c>
      <c r="J66">
        <f>Table134567891011121323456789101112[[#This Row],[LOADED LITRES]]-Table134567891011121323456789101112[[#This Row],[Offloading Litres]]</f>
        <v>-240</v>
      </c>
      <c r="K66" t="s">
        <v>25</v>
      </c>
      <c r="L66">
        <v>76466056</v>
      </c>
      <c r="M66" t="s">
        <v>3065</v>
      </c>
      <c r="N66">
        <v>0.68520000000000003</v>
      </c>
      <c r="O66" s="8">
        <f>Table134567891011121323456789101112[[#This Row],[Offloading Litres]]*Table134567891011121323456789101112[[#This Row],[Rate]]</f>
        <v>30272.136000000002</v>
      </c>
      <c r="P66" s="9" t="s">
        <v>2959</v>
      </c>
      <c r="Q66" t="s">
        <v>3291</v>
      </c>
    </row>
    <row r="67" spans="1:17" x14ac:dyDescent="0.3">
      <c r="A67" s="7">
        <v>45980</v>
      </c>
      <c r="B67" s="7">
        <v>45981</v>
      </c>
      <c r="C67" t="s">
        <v>17</v>
      </c>
      <c r="D67" t="s">
        <v>19</v>
      </c>
      <c r="E67" t="s">
        <v>2938</v>
      </c>
      <c r="F67">
        <v>432739168</v>
      </c>
      <c r="G67">
        <v>803457131</v>
      </c>
      <c r="H67">
        <v>38763</v>
      </c>
      <c r="I67">
        <v>38934</v>
      </c>
      <c r="J67">
        <f>Table134567891011121323456789101112[[#This Row],[LOADED LITRES]]-Table134567891011121323456789101112[[#This Row],[Offloading Litres]]</f>
        <v>-171</v>
      </c>
      <c r="K67" t="s">
        <v>32</v>
      </c>
      <c r="L67" s="17" t="s">
        <v>3119</v>
      </c>
      <c r="M67" t="s">
        <v>3185</v>
      </c>
      <c r="N67">
        <v>0.62119999999999997</v>
      </c>
      <c r="O67" s="8">
        <f>Table134567891011121323456789101112[[#This Row],[Offloading Litres]]*Table134567891011121323456789101112[[#This Row],[Rate]]</f>
        <v>24185.800799999997</v>
      </c>
      <c r="P67" s="9" t="s">
        <v>2985</v>
      </c>
      <c r="Q67" t="s">
        <v>3292</v>
      </c>
    </row>
    <row r="68" spans="1:17" x14ac:dyDescent="0.3">
      <c r="A68" s="7">
        <v>45981</v>
      </c>
      <c r="B68" s="7">
        <v>45982</v>
      </c>
      <c r="C68" t="s">
        <v>1794</v>
      </c>
      <c r="D68" t="s">
        <v>35</v>
      </c>
      <c r="E68" t="s">
        <v>40</v>
      </c>
      <c r="F68">
        <v>432739817</v>
      </c>
      <c r="G68">
        <v>803457632</v>
      </c>
      <c r="H68">
        <v>44538</v>
      </c>
      <c r="I68">
        <v>44580</v>
      </c>
      <c r="J68">
        <f>Table134567891011121323456789101112[[#This Row],[LOADED LITRES]]-Table134567891011121323456789101112[[#This Row],[Offloading Litres]]</f>
        <v>-42</v>
      </c>
      <c r="K68" t="s">
        <v>25</v>
      </c>
      <c r="L68">
        <v>76466179</v>
      </c>
      <c r="M68" t="s">
        <v>3066</v>
      </c>
      <c r="N68">
        <v>0.7409</v>
      </c>
      <c r="O68" s="8">
        <f>Table134567891011121323456789101112[[#This Row],[Offloading Litres]]*Table134567891011121323456789101112[[#This Row],[Rate]]</f>
        <v>33029.322</v>
      </c>
      <c r="P68" s="9" t="s">
        <v>2960</v>
      </c>
      <c r="Q68" t="s">
        <v>3289</v>
      </c>
    </row>
    <row r="69" spans="1:17" x14ac:dyDescent="0.3">
      <c r="A69" s="7">
        <v>45982</v>
      </c>
      <c r="B69" s="7">
        <v>45983</v>
      </c>
      <c r="C69" t="s">
        <v>29</v>
      </c>
      <c r="D69" t="s">
        <v>24</v>
      </c>
      <c r="E69" t="s">
        <v>40</v>
      </c>
      <c r="F69">
        <v>432670963</v>
      </c>
      <c r="G69">
        <v>803463567</v>
      </c>
      <c r="H69">
        <v>39524</v>
      </c>
      <c r="I69">
        <v>39744</v>
      </c>
      <c r="J69">
        <f>Table134567891011121323456789101112[[#This Row],[LOADED LITRES]]-Table134567891011121323456789101112[[#This Row],[Offloading Litres]]</f>
        <v>-220</v>
      </c>
      <c r="K69" t="s">
        <v>32</v>
      </c>
      <c r="L69">
        <v>76472371</v>
      </c>
      <c r="M69" t="s">
        <v>3068</v>
      </c>
      <c r="N69">
        <v>0.7409</v>
      </c>
      <c r="O69" s="8">
        <f>Table134567891011121323456789101112[[#This Row],[Offloading Litres]]*Table134567891011121323456789101112[[#This Row],[Rate]]</f>
        <v>29446.329600000001</v>
      </c>
      <c r="P69" s="9" t="s">
        <v>2964</v>
      </c>
      <c r="Q69" t="s">
        <v>3283</v>
      </c>
    </row>
    <row r="70" spans="1:17" x14ac:dyDescent="0.3">
      <c r="A70" s="7">
        <v>45982</v>
      </c>
      <c r="B70" s="7">
        <v>45983</v>
      </c>
      <c r="C70" t="s">
        <v>34</v>
      </c>
      <c r="D70" t="s">
        <v>15</v>
      </c>
      <c r="E70" t="s">
        <v>243</v>
      </c>
      <c r="F70">
        <v>432818243</v>
      </c>
      <c r="G70">
        <v>803465203</v>
      </c>
      <c r="H70">
        <v>38659</v>
      </c>
      <c r="I70">
        <v>38942</v>
      </c>
      <c r="J70">
        <f>Table134567891011121323456789101112[[#This Row],[LOADED LITRES]]-Table134567891011121323456789101112[[#This Row],[Offloading Litres]]</f>
        <v>-283</v>
      </c>
      <c r="K70" t="s">
        <v>32</v>
      </c>
      <c r="L70" s="17" t="s">
        <v>3127</v>
      </c>
      <c r="M70" t="s">
        <v>3186</v>
      </c>
      <c r="N70">
        <v>0.50409999999999999</v>
      </c>
      <c r="O70" s="8">
        <f>Table134567891011121323456789101112[[#This Row],[Offloading Litres]]*Table134567891011121323456789101112[[#This Row],[Rate]]</f>
        <v>19630.662199999999</v>
      </c>
      <c r="P70" s="9" t="s">
        <v>2962</v>
      </c>
      <c r="Q70" t="s">
        <v>3281</v>
      </c>
    </row>
    <row r="71" spans="1:17" x14ac:dyDescent="0.3">
      <c r="A71" s="7">
        <v>45982</v>
      </c>
      <c r="B71" s="7">
        <v>45983</v>
      </c>
      <c r="C71" t="s">
        <v>17</v>
      </c>
      <c r="D71" t="s">
        <v>19</v>
      </c>
      <c r="E71" t="s">
        <v>2984</v>
      </c>
      <c r="F71">
        <v>432818219</v>
      </c>
      <c r="G71">
        <v>803466451</v>
      </c>
      <c r="H71">
        <v>38722</v>
      </c>
      <c r="I71">
        <v>38968</v>
      </c>
      <c r="J71">
        <f>Table134567891011121323456789101112[[#This Row],[LOADED LITRES]]-Table134567891011121323456789101112[[#This Row],[Offloading Litres]]</f>
        <v>-246</v>
      </c>
      <c r="K71" t="s">
        <v>32</v>
      </c>
      <c r="L71" s="17" t="s">
        <v>3125</v>
      </c>
      <c r="M71" t="s">
        <v>3187</v>
      </c>
      <c r="N71">
        <v>0.6008</v>
      </c>
      <c r="O71" s="8">
        <f>Table134567891011121323456789101112[[#This Row],[Offloading Litres]]*Table134567891011121323456789101112[[#This Row],[Rate]]</f>
        <v>23411.974399999999</v>
      </c>
      <c r="P71" s="9" t="s">
        <v>2963</v>
      </c>
      <c r="Q71" t="s">
        <v>3285</v>
      </c>
    </row>
    <row r="72" spans="1:17" x14ac:dyDescent="0.3">
      <c r="A72" s="7">
        <v>45982</v>
      </c>
      <c r="B72" s="7">
        <v>45983</v>
      </c>
      <c r="C72" t="s">
        <v>22</v>
      </c>
      <c r="D72" t="s">
        <v>2906</v>
      </c>
      <c r="E72" t="s">
        <v>40</v>
      </c>
      <c r="F72">
        <v>432670967</v>
      </c>
      <c r="G72">
        <v>803466684</v>
      </c>
      <c r="H72">
        <v>39714</v>
      </c>
      <c r="I72">
        <v>39879</v>
      </c>
      <c r="J72">
        <f>Table134567891011121323456789101112[[#This Row],[LOADED LITRES]]-Table134567891011121323456789101112[[#This Row],[Offloading Litres]]</f>
        <v>-165</v>
      </c>
      <c r="K72" t="s">
        <v>32</v>
      </c>
      <c r="L72">
        <v>76476171</v>
      </c>
      <c r="M72" t="s">
        <v>3067</v>
      </c>
      <c r="N72">
        <v>0.7409</v>
      </c>
      <c r="O72" s="8">
        <f>Table134567891011121323456789101112[[#This Row],[Offloading Litres]]*Table134567891011121323456789101112[[#This Row],[Rate]]</f>
        <v>29546.3511</v>
      </c>
      <c r="P72" s="9" t="s">
        <v>2965</v>
      </c>
      <c r="Q72" t="s">
        <v>3280</v>
      </c>
    </row>
    <row r="73" spans="1:17" x14ac:dyDescent="0.3">
      <c r="A73" s="7">
        <v>45982</v>
      </c>
      <c r="B73" s="7">
        <v>45984</v>
      </c>
      <c r="C73" t="s">
        <v>21</v>
      </c>
      <c r="D73" t="s">
        <v>27</v>
      </c>
      <c r="E73" t="s">
        <v>40</v>
      </c>
      <c r="F73">
        <v>432670978</v>
      </c>
      <c r="G73">
        <v>803467088</v>
      </c>
      <c r="H73">
        <v>39233</v>
      </c>
      <c r="I73">
        <v>39430</v>
      </c>
      <c r="J73">
        <f>Table134567891011121323456789101112[[#This Row],[LOADED LITRES]]-Table134567891011121323456789101112[[#This Row],[Offloading Litres]]</f>
        <v>-197</v>
      </c>
      <c r="K73" t="s">
        <v>32</v>
      </c>
      <c r="L73">
        <v>76476664</v>
      </c>
      <c r="M73" t="s">
        <v>3069</v>
      </c>
      <c r="N73">
        <v>0.7409</v>
      </c>
      <c r="O73" s="8">
        <f>Table134567891011121323456789101112[[#This Row],[Offloading Litres]]*Table134567891011121323456789101112[[#This Row],[Rate]]</f>
        <v>29213.687000000002</v>
      </c>
      <c r="P73" s="9" t="s">
        <v>2968</v>
      </c>
      <c r="Q73" t="s">
        <v>3284</v>
      </c>
    </row>
    <row r="74" spans="1:17" x14ac:dyDescent="0.3">
      <c r="A74" s="7">
        <v>45982</v>
      </c>
      <c r="B74" s="7">
        <v>45983</v>
      </c>
      <c r="C74" t="s">
        <v>28</v>
      </c>
      <c r="D74" t="s">
        <v>286</v>
      </c>
      <c r="E74" t="s">
        <v>40</v>
      </c>
      <c r="F74">
        <v>432739856</v>
      </c>
      <c r="G74">
        <v>803467141</v>
      </c>
      <c r="H74">
        <v>44155</v>
      </c>
      <c r="I74">
        <v>44427</v>
      </c>
      <c r="J74">
        <f>Table134567891011121323456789101112[[#This Row],[LOADED LITRES]]-Table134567891011121323456789101112[[#This Row],[Offloading Litres]]</f>
        <v>-272</v>
      </c>
      <c r="K74" t="s">
        <v>25</v>
      </c>
      <c r="L74">
        <v>76476705</v>
      </c>
      <c r="M74" t="s">
        <v>3070</v>
      </c>
      <c r="N74">
        <v>0.7409</v>
      </c>
      <c r="O74" s="8">
        <f>Table134567891011121323456789101112[[#This Row],[Offloading Litres]]*Table134567891011121323456789101112[[#This Row],[Rate]]</f>
        <v>32915.9643</v>
      </c>
      <c r="P74" s="9" t="s">
        <v>2966</v>
      </c>
      <c r="Q74" t="s">
        <v>3282</v>
      </c>
    </row>
    <row r="75" spans="1:17" x14ac:dyDescent="0.3">
      <c r="A75" s="7">
        <v>45983</v>
      </c>
      <c r="B75" s="7">
        <v>45984</v>
      </c>
      <c r="C75" t="s">
        <v>30</v>
      </c>
      <c r="D75" t="s">
        <v>349</v>
      </c>
      <c r="E75" t="s">
        <v>40</v>
      </c>
      <c r="F75">
        <v>432796881</v>
      </c>
      <c r="G75">
        <v>803467206</v>
      </c>
      <c r="H75">
        <v>43868</v>
      </c>
      <c r="I75">
        <v>44047</v>
      </c>
      <c r="J75">
        <f>Table134567891011121323456789101112[[#This Row],[LOADED LITRES]]-Table134567891011121323456789101112[[#This Row],[Offloading Litres]]</f>
        <v>-179</v>
      </c>
      <c r="K75" t="s">
        <v>25</v>
      </c>
      <c r="L75">
        <v>76476786</v>
      </c>
      <c r="M75" t="s">
        <v>3071</v>
      </c>
      <c r="N75">
        <v>0.7409</v>
      </c>
      <c r="O75" s="8">
        <f>Table134567891011121323456789101112[[#This Row],[Offloading Litres]]*Table134567891011121323456789101112[[#This Row],[Rate]]</f>
        <v>32634.422299999998</v>
      </c>
      <c r="P75" s="9" t="s">
        <v>2967</v>
      </c>
      <c r="Q75" t="s">
        <v>3279</v>
      </c>
    </row>
    <row r="76" spans="1:17" x14ac:dyDescent="0.3">
      <c r="A76" s="7">
        <v>45983</v>
      </c>
      <c r="B76" s="7">
        <v>45984</v>
      </c>
      <c r="C76" t="s">
        <v>23</v>
      </c>
      <c r="D76" t="s">
        <v>2896</v>
      </c>
      <c r="E76" t="s">
        <v>40</v>
      </c>
      <c r="F76">
        <v>432796882</v>
      </c>
      <c r="G76">
        <v>803467750</v>
      </c>
      <c r="H76">
        <v>43800</v>
      </c>
      <c r="I76">
        <v>44064</v>
      </c>
      <c r="J76">
        <f>Table134567891011121323456789101112[[#This Row],[LOADED LITRES]]-Table134567891011121323456789101112[[#This Row],[Offloading Litres]]</f>
        <v>-264</v>
      </c>
      <c r="K76" t="s">
        <v>25</v>
      </c>
      <c r="L76">
        <v>76477590</v>
      </c>
      <c r="M76" t="s">
        <v>3072</v>
      </c>
      <c r="N76">
        <v>0.7409</v>
      </c>
      <c r="O76" s="8">
        <f>Table134567891011121323456789101112[[#This Row],[Offloading Litres]]*Table134567891011121323456789101112[[#This Row],[Rate]]</f>
        <v>32647.017599999999</v>
      </c>
      <c r="P76" s="9" t="s">
        <v>2970</v>
      </c>
      <c r="Q76" t="s">
        <v>3278</v>
      </c>
    </row>
    <row r="77" spans="1:17" x14ac:dyDescent="0.3">
      <c r="A77" s="7">
        <v>45983</v>
      </c>
      <c r="B77" s="7">
        <v>45984</v>
      </c>
      <c r="C77" t="s">
        <v>1794</v>
      </c>
      <c r="D77" t="s">
        <v>35</v>
      </c>
      <c r="E77" t="s">
        <v>40</v>
      </c>
      <c r="F77">
        <v>432796894</v>
      </c>
      <c r="G77">
        <v>803467705</v>
      </c>
      <c r="H77">
        <v>44431</v>
      </c>
      <c r="I77">
        <v>44646</v>
      </c>
      <c r="J77">
        <f>Table134567891011121323456789101112[[#This Row],[LOADED LITRES]]-Table134567891011121323456789101112[[#This Row],[Offloading Litres]]</f>
        <v>-215</v>
      </c>
      <c r="K77" t="s">
        <v>25</v>
      </c>
      <c r="L77">
        <v>76477492</v>
      </c>
      <c r="M77" t="s">
        <v>3073</v>
      </c>
      <c r="N77">
        <v>0.7409</v>
      </c>
      <c r="O77" s="8">
        <f>Table134567891011121323456789101112[[#This Row],[Offloading Litres]]*Table134567891011121323456789101112[[#This Row],[Rate]]</f>
        <v>33078.221400000002</v>
      </c>
      <c r="P77" s="9" t="s">
        <v>2969</v>
      </c>
      <c r="Q77" t="s">
        <v>3277</v>
      </c>
    </row>
    <row r="78" spans="1:17" x14ac:dyDescent="0.3">
      <c r="A78" s="7">
        <v>45984</v>
      </c>
      <c r="B78" s="7">
        <v>45985</v>
      </c>
      <c r="C78" t="s">
        <v>34</v>
      </c>
      <c r="D78" t="s">
        <v>15</v>
      </c>
      <c r="E78" t="s">
        <v>40</v>
      </c>
      <c r="F78">
        <v>432796895</v>
      </c>
      <c r="G78">
        <v>803469464</v>
      </c>
      <c r="H78">
        <v>43846</v>
      </c>
      <c r="I78">
        <v>44114</v>
      </c>
      <c r="J78">
        <f>Table134567891011121323456789101112[[#This Row],[LOADED LITRES]]-Table134567891011121323456789101112[[#This Row],[Offloading Litres]]</f>
        <v>-268</v>
      </c>
      <c r="K78" t="s">
        <v>25</v>
      </c>
      <c r="L78">
        <v>76479497</v>
      </c>
      <c r="M78" t="s">
        <v>3074</v>
      </c>
      <c r="N78">
        <v>0.7409</v>
      </c>
      <c r="O78" s="8">
        <f>Table134567891011121323456789101112[[#This Row],[Offloading Litres]]*Table134567891011121323456789101112[[#This Row],[Rate]]</f>
        <v>32684.062600000001</v>
      </c>
      <c r="P78" s="9" t="s">
        <v>2972</v>
      </c>
      <c r="Q78" t="s">
        <v>3307</v>
      </c>
    </row>
    <row r="79" spans="1:17" x14ac:dyDescent="0.3">
      <c r="A79" s="7">
        <v>45986</v>
      </c>
      <c r="B79" s="7">
        <v>45985</v>
      </c>
      <c r="C79" t="s">
        <v>17</v>
      </c>
      <c r="D79" t="s">
        <v>19</v>
      </c>
      <c r="E79" t="s">
        <v>40</v>
      </c>
      <c r="F79">
        <v>432796896</v>
      </c>
      <c r="G79">
        <v>803469491</v>
      </c>
      <c r="H79">
        <v>43858</v>
      </c>
      <c r="I79">
        <v>44087</v>
      </c>
      <c r="J79">
        <f>Table134567891011121323456789101112[[#This Row],[LOADED LITRES]]-Table134567891011121323456789101112[[#This Row],[Offloading Litres]]</f>
        <v>-229</v>
      </c>
      <c r="K79" t="s">
        <v>25</v>
      </c>
      <c r="L79">
        <v>76479516</v>
      </c>
      <c r="M79" t="s">
        <v>3075</v>
      </c>
      <c r="N79">
        <v>0.7409</v>
      </c>
      <c r="O79" s="8">
        <f>Table134567891011121323456789101112[[#This Row],[Offloading Litres]]*Table134567891011121323456789101112[[#This Row],[Rate]]</f>
        <v>32664.058300000001</v>
      </c>
      <c r="P79" s="9" t="s">
        <v>2973</v>
      </c>
      <c r="Q79" t="s">
        <v>3310</v>
      </c>
    </row>
    <row r="80" spans="1:17" x14ac:dyDescent="0.3">
      <c r="A80" s="7">
        <v>45984</v>
      </c>
      <c r="B80" s="7">
        <v>45986</v>
      </c>
      <c r="C80" t="s">
        <v>29</v>
      </c>
      <c r="D80" t="s">
        <v>24</v>
      </c>
      <c r="E80" t="s">
        <v>40</v>
      </c>
      <c r="F80">
        <v>432796898</v>
      </c>
      <c r="G80">
        <v>803469940</v>
      </c>
      <c r="H80">
        <v>43892</v>
      </c>
      <c r="I80">
        <v>43853</v>
      </c>
      <c r="J80">
        <f>Table134567891011121323456789101112[[#This Row],[LOADED LITRES]]-Table134567891011121323456789101112[[#This Row],[Offloading Litres]]</f>
        <v>39</v>
      </c>
      <c r="K80" t="s">
        <v>25</v>
      </c>
      <c r="L80">
        <v>76480047</v>
      </c>
      <c r="M80" t="s">
        <v>3170</v>
      </c>
      <c r="N80">
        <v>0.7409</v>
      </c>
      <c r="O80" s="8">
        <f>Table134567891011121323456789101112[[#This Row],[Offloading Litres]]*Table134567891011121323456789101112[[#This Row],[Rate]]</f>
        <v>32490.687699999999</v>
      </c>
      <c r="P80" s="9" t="s">
        <v>2974</v>
      </c>
      <c r="Q80" t="s">
        <v>3306</v>
      </c>
    </row>
    <row r="81" spans="1:17" x14ac:dyDescent="0.3">
      <c r="A81" s="7">
        <v>45984</v>
      </c>
      <c r="B81" s="7">
        <v>45986</v>
      </c>
      <c r="C81" t="s">
        <v>22</v>
      </c>
      <c r="D81" t="s">
        <v>2906</v>
      </c>
      <c r="E81" t="s">
        <v>40</v>
      </c>
      <c r="F81">
        <v>432797068</v>
      </c>
      <c r="G81">
        <v>803469960</v>
      </c>
      <c r="H81">
        <v>43972</v>
      </c>
      <c r="I81">
        <v>43927</v>
      </c>
      <c r="J81">
        <f>Table134567891011121323456789101112[[#This Row],[LOADED LITRES]]-Table134567891011121323456789101112[[#This Row],[Offloading Litres]]</f>
        <v>45</v>
      </c>
      <c r="K81" t="s">
        <v>25</v>
      </c>
      <c r="L81">
        <v>76480084</v>
      </c>
      <c r="M81" t="s">
        <v>3076</v>
      </c>
      <c r="N81">
        <v>0.7409</v>
      </c>
      <c r="O81" s="8">
        <f>Table134567891011121323456789101112[[#This Row],[Offloading Litres]]*Table134567891011121323456789101112[[#This Row],[Rate]]</f>
        <v>32545.514299999999</v>
      </c>
      <c r="P81" s="9" t="s">
        <v>2976</v>
      </c>
      <c r="Q81" t="s">
        <v>3309</v>
      </c>
    </row>
    <row r="82" spans="1:17" x14ac:dyDescent="0.3">
      <c r="A82" s="7">
        <v>45984</v>
      </c>
      <c r="B82" s="7">
        <v>45990</v>
      </c>
      <c r="C82" t="s">
        <v>103</v>
      </c>
      <c r="D82" t="s">
        <v>286</v>
      </c>
      <c r="E82" t="s">
        <v>40</v>
      </c>
      <c r="F82">
        <v>432796899</v>
      </c>
      <c r="G82">
        <v>803469961</v>
      </c>
      <c r="H82">
        <v>43883</v>
      </c>
      <c r="I82">
        <v>44067</v>
      </c>
      <c r="J82">
        <f>Table134567891011121323456789101112[[#This Row],[LOADED LITRES]]-Table134567891011121323456789101112[[#This Row],[Offloading Litres]]</f>
        <v>-184</v>
      </c>
      <c r="K82" t="s">
        <v>25</v>
      </c>
      <c r="L82">
        <v>76480086</v>
      </c>
      <c r="M82" t="s">
        <v>3077</v>
      </c>
      <c r="N82">
        <v>0.7409</v>
      </c>
      <c r="O82" s="8">
        <f>Table134567891011121323456789101112[[#This Row],[Offloading Litres]]*Table134567891011121323456789101112[[#This Row],[Rate]]</f>
        <v>32649.240300000001</v>
      </c>
      <c r="P82" s="9" t="s">
        <v>2996</v>
      </c>
      <c r="Q82" t="s">
        <v>3308</v>
      </c>
    </row>
    <row r="83" spans="1:17" x14ac:dyDescent="0.3">
      <c r="A83" s="7">
        <v>45985</v>
      </c>
      <c r="B83" s="7">
        <v>45986</v>
      </c>
      <c r="C83" t="s">
        <v>21</v>
      </c>
      <c r="D83" t="s">
        <v>27</v>
      </c>
      <c r="E83" t="s">
        <v>243</v>
      </c>
      <c r="F83" t="s">
        <v>2971</v>
      </c>
      <c r="G83">
        <v>803472994</v>
      </c>
      <c r="H83">
        <v>38108</v>
      </c>
      <c r="I83">
        <v>38106</v>
      </c>
      <c r="J83">
        <f>Table134567891011121323456789101112[[#This Row],[LOADED LITRES]]-Table134567891011121323456789101112[[#This Row],[Offloading Litres]]</f>
        <v>2</v>
      </c>
      <c r="K83" t="s">
        <v>32</v>
      </c>
      <c r="L83" s="17" t="s">
        <v>3131</v>
      </c>
      <c r="M83" t="s">
        <v>3188</v>
      </c>
      <c r="N83">
        <v>0.50409999999999999</v>
      </c>
      <c r="O83" s="8">
        <f>Table134567891011121323456789101112[[#This Row],[Offloading Litres]]*Table134567891011121323456789101112[[#This Row],[Rate]]</f>
        <v>19209.2346</v>
      </c>
      <c r="P83" s="9" t="s">
        <v>2975</v>
      </c>
      <c r="Q83" t="s">
        <v>3312</v>
      </c>
    </row>
    <row r="84" spans="1:17" x14ac:dyDescent="0.3">
      <c r="A84" s="7">
        <v>45985</v>
      </c>
      <c r="B84" s="7">
        <v>45986</v>
      </c>
      <c r="C84" t="s">
        <v>28</v>
      </c>
      <c r="D84" t="s">
        <v>286</v>
      </c>
      <c r="E84" t="s">
        <v>16</v>
      </c>
      <c r="F84">
        <v>432622894</v>
      </c>
      <c r="G84">
        <v>803474578</v>
      </c>
      <c r="H84">
        <v>44178</v>
      </c>
      <c r="I84">
        <v>44337</v>
      </c>
      <c r="J84">
        <f>Table134567891011121323456789101112[[#This Row],[LOADED LITRES]]-Table134567891011121323456789101112[[#This Row],[Offloading Litres]]</f>
        <v>-159</v>
      </c>
      <c r="K84" t="s">
        <v>25</v>
      </c>
      <c r="L84">
        <v>76484658</v>
      </c>
      <c r="M84" t="s">
        <v>3078</v>
      </c>
      <c r="N84">
        <v>0.68520000000000003</v>
      </c>
      <c r="O84" s="8">
        <f>Table134567891011121323456789101112[[#This Row],[Offloading Litres]]*Table134567891011121323456789101112[[#This Row],[Rate]]</f>
        <v>30379.7124</v>
      </c>
      <c r="P84" s="9" t="s">
        <v>2988</v>
      </c>
      <c r="Q84" t="s">
        <v>3324</v>
      </c>
    </row>
    <row r="85" spans="1:17" x14ac:dyDescent="0.3">
      <c r="A85" s="7">
        <v>45985</v>
      </c>
      <c r="B85" s="7">
        <v>45986</v>
      </c>
      <c r="C85" t="s">
        <v>1794</v>
      </c>
      <c r="D85" t="s">
        <v>35</v>
      </c>
      <c r="E85" t="s">
        <v>2987</v>
      </c>
      <c r="F85">
        <v>432918714</v>
      </c>
      <c r="G85">
        <v>803475207</v>
      </c>
      <c r="H85">
        <v>37921</v>
      </c>
      <c r="I85">
        <v>37960</v>
      </c>
      <c r="J85">
        <f>Table134567891011121323456789101112[[#This Row],[LOADED LITRES]]-Table134567891011121323456789101112[[#This Row],[Offloading Litres]]</f>
        <v>-39</v>
      </c>
      <c r="K85" t="s">
        <v>236</v>
      </c>
      <c r="L85" s="17" t="s">
        <v>3140</v>
      </c>
      <c r="M85" t="s">
        <v>3189</v>
      </c>
      <c r="N85">
        <v>0.69240000000000002</v>
      </c>
      <c r="O85" s="8">
        <f>Table134567891011121323456789101112[[#This Row],[Offloading Litres]]*Table134567891011121323456789101112[[#This Row],[Rate]]</f>
        <v>26283.504000000001</v>
      </c>
      <c r="P85" s="9" t="s">
        <v>2989</v>
      </c>
      <c r="Q85" t="s">
        <v>3325</v>
      </c>
    </row>
    <row r="86" spans="1:17" x14ac:dyDescent="0.3">
      <c r="A86" s="7">
        <v>45985</v>
      </c>
      <c r="B86" s="7">
        <v>45986</v>
      </c>
      <c r="C86" t="s">
        <v>23</v>
      </c>
      <c r="D86" t="s">
        <v>2896</v>
      </c>
      <c r="E86" t="s">
        <v>2984</v>
      </c>
      <c r="F86">
        <v>432901331</v>
      </c>
      <c r="G86">
        <v>803475303</v>
      </c>
      <c r="H86">
        <v>38736</v>
      </c>
      <c r="I86">
        <v>38806</v>
      </c>
      <c r="J86">
        <f>Table134567891011121323456789101112[[#This Row],[LOADED LITRES]]-Table134567891011121323456789101112[[#This Row],[Offloading Litres]]</f>
        <v>-70</v>
      </c>
      <c r="K86" t="s">
        <v>32</v>
      </c>
      <c r="L86" s="18" t="s">
        <v>3133</v>
      </c>
      <c r="M86" t="s">
        <v>3190</v>
      </c>
      <c r="N86">
        <v>0.6008</v>
      </c>
      <c r="O86" s="8">
        <f>Table134567891011121323456789101112[[#This Row],[Offloading Litres]]*Table134567891011121323456789101112[[#This Row],[Rate]]</f>
        <v>23314.644799999998</v>
      </c>
      <c r="P86" s="9" t="s">
        <v>2986</v>
      </c>
      <c r="Q86" t="s">
        <v>3323</v>
      </c>
    </row>
    <row r="87" spans="1:17" x14ac:dyDescent="0.3">
      <c r="A87" s="7">
        <v>45985</v>
      </c>
      <c r="B87" s="7">
        <v>45986</v>
      </c>
      <c r="C87" t="s">
        <v>30</v>
      </c>
      <c r="D87" t="s">
        <v>349</v>
      </c>
      <c r="E87" t="s">
        <v>16</v>
      </c>
      <c r="F87">
        <v>432622135</v>
      </c>
      <c r="G87">
        <v>803474217</v>
      </c>
      <c r="H87">
        <v>43895</v>
      </c>
      <c r="I87">
        <v>43970</v>
      </c>
      <c r="J87">
        <f>Table134567891011121323456789101112[[#This Row],[LOADED LITRES]]-Table134567891011121323456789101112[[#This Row],[Offloading Litres]]</f>
        <v>-75</v>
      </c>
      <c r="K87" t="s">
        <v>25</v>
      </c>
      <c r="L87">
        <v>76484380</v>
      </c>
      <c r="M87" t="s">
        <v>3079</v>
      </c>
      <c r="N87">
        <v>0.68520000000000003</v>
      </c>
      <c r="O87" s="8">
        <f>Table134567891011121323456789101112[[#This Row],[Offloading Litres]]*Table134567891011121323456789101112[[#This Row],[Rate]]</f>
        <v>30128.244000000002</v>
      </c>
      <c r="P87" s="9" t="s">
        <v>2990</v>
      </c>
      <c r="Q87" t="s">
        <v>3326</v>
      </c>
    </row>
    <row r="88" spans="1:17" x14ac:dyDescent="0.3">
      <c r="A88" s="7">
        <v>45986</v>
      </c>
      <c r="B88" s="7">
        <v>45987</v>
      </c>
      <c r="C88" t="s">
        <v>17</v>
      </c>
      <c r="D88" t="s">
        <v>19</v>
      </c>
      <c r="E88" t="s">
        <v>16</v>
      </c>
      <c r="F88">
        <v>432623353</v>
      </c>
      <c r="G88">
        <v>803478507</v>
      </c>
      <c r="H88">
        <v>43830</v>
      </c>
      <c r="I88">
        <v>44084</v>
      </c>
      <c r="J88">
        <f>Table134567891011121323456789101112[[#This Row],[LOADED LITRES]]-Table134567891011121323456789101112[[#This Row],[Offloading Litres]]</f>
        <v>-254</v>
      </c>
      <c r="K88" t="s">
        <v>25</v>
      </c>
      <c r="L88">
        <v>76488124</v>
      </c>
      <c r="M88" t="s">
        <v>3080</v>
      </c>
      <c r="N88">
        <v>0.68520000000000003</v>
      </c>
      <c r="O88" s="8">
        <f>Table134567891011121323456789101112[[#This Row],[Offloading Litres]]*Table134567891011121323456789101112[[#This Row],[Rate]]</f>
        <v>30206.356800000001</v>
      </c>
      <c r="P88" s="9" t="s">
        <v>2991</v>
      </c>
      <c r="Q88" t="s">
        <v>3321</v>
      </c>
    </row>
    <row r="89" spans="1:17" x14ac:dyDescent="0.3">
      <c r="A89" s="7">
        <v>45986</v>
      </c>
      <c r="B89" s="7">
        <v>45987</v>
      </c>
      <c r="C89" t="s">
        <v>34</v>
      </c>
      <c r="D89" t="s">
        <v>15</v>
      </c>
      <c r="E89" t="s">
        <v>40</v>
      </c>
      <c r="F89">
        <v>432797067</v>
      </c>
      <c r="G89">
        <v>803478451</v>
      </c>
      <c r="H89">
        <v>43851</v>
      </c>
      <c r="I89">
        <v>44153</v>
      </c>
      <c r="J89">
        <f>Table134567891011121323456789101112[[#This Row],[LOADED LITRES]]-Table134567891011121323456789101112[[#This Row],[Offloading Litres]]</f>
        <v>-302</v>
      </c>
      <c r="K89" t="s">
        <v>25</v>
      </c>
      <c r="L89">
        <v>76488076</v>
      </c>
      <c r="M89" t="s">
        <v>3081</v>
      </c>
      <c r="N89">
        <v>0.7409</v>
      </c>
      <c r="O89" s="8">
        <f>Table134567891011121323456789101112[[#This Row],[Offloading Litres]]*Table134567891011121323456789101112[[#This Row],[Rate]]</f>
        <v>32712.957699999999</v>
      </c>
      <c r="P89" s="9" t="s">
        <v>2992</v>
      </c>
      <c r="Q89" t="s">
        <v>3322</v>
      </c>
    </row>
    <row r="90" spans="1:17" x14ac:dyDescent="0.3">
      <c r="A90" s="7">
        <v>45987</v>
      </c>
      <c r="B90" s="7">
        <v>45989</v>
      </c>
      <c r="C90" t="s">
        <v>21</v>
      </c>
      <c r="D90" t="s">
        <v>27</v>
      </c>
      <c r="E90" t="s">
        <v>1495</v>
      </c>
      <c r="F90" s="17">
        <v>432950843</v>
      </c>
      <c r="G90">
        <v>803481039</v>
      </c>
      <c r="H90">
        <v>38332</v>
      </c>
      <c r="I90">
        <v>38321</v>
      </c>
      <c r="J90">
        <f>Table134567891011121323456789101112[[#This Row],[LOADED LITRES]]-Table134567891011121323456789101112[[#This Row],[Offloading Litres]]</f>
        <v>11</v>
      </c>
      <c r="K90" t="s">
        <v>236</v>
      </c>
      <c r="L90" s="18" t="s">
        <v>3143</v>
      </c>
      <c r="M90" t="s">
        <v>3191</v>
      </c>
      <c r="N90">
        <v>0.5776</v>
      </c>
      <c r="O90" s="8">
        <f>Table134567891011121323456789101112[[#This Row],[Offloading Litres]]*Table134567891011121323456789101112[[#This Row],[Rate]]</f>
        <v>22134.209599999998</v>
      </c>
      <c r="P90" s="9" t="s">
        <v>2993</v>
      </c>
      <c r="Q90" t="s">
        <v>3320</v>
      </c>
    </row>
    <row r="91" spans="1:17" x14ac:dyDescent="0.3">
      <c r="A91" s="7">
        <v>45987</v>
      </c>
      <c r="B91" s="7">
        <v>45990</v>
      </c>
      <c r="C91" t="s">
        <v>29</v>
      </c>
      <c r="D91" t="s">
        <v>24</v>
      </c>
      <c r="E91" t="s">
        <v>40</v>
      </c>
      <c r="F91">
        <v>432797074</v>
      </c>
      <c r="G91">
        <v>803482446</v>
      </c>
      <c r="H91">
        <v>43915</v>
      </c>
      <c r="I91">
        <v>44226</v>
      </c>
      <c r="J91">
        <f>Table134567891011121323456789101112[[#This Row],[LOADED LITRES]]-Table134567891011121323456789101112[[#This Row],[Offloading Litres]]</f>
        <v>-311</v>
      </c>
      <c r="K91" t="s">
        <v>25</v>
      </c>
      <c r="L91">
        <v>76491991</v>
      </c>
      <c r="M91" t="s">
        <v>3082</v>
      </c>
      <c r="N91">
        <v>0.7409</v>
      </c>
      <c r="O91" s="8">
        <f>Table134567891011121323456789101112[[#This Row],[Offloading Litres]]*Table134567891011121323456789101112[[#This Row],[Rate]]</f>
        <v>32767.043399999999</v>
      </c>
      <c r="P91" s="9" t="s">
        <v>2999</v>
      </c>
      <c r="Q91" t="s">
        <v>3313</v>
      </c>
    </row>
    <row r="92" spans="1:17" x14ac:dyDescent="0.3">
      <c r="A92" s="7">
        <v>45987</v>
      </c>
      <c r="B92" s="7">
        <v>45988</v>
      </c>
      <c r="C92" t="s">
        <v>22</v>
      </c>
      <c r="D92" t="s">
        <v>2906</v>
      </c>
      <c r="E92" t="s">
        <v>16</v>
      </c>
      <c r="F92">
        <v>432623565</v>
      </c>
      <c r="G92">
        <v>803482927</v>
      </c>
      <c r="H92">
        <v>43883</v>
      </c>
      <c r="I92">
        <v>44084</v>
      </c>
      <c r="J92">
        <f>Table134567891011121323456789101112[[#This Row],[LOADED LITRES]]-Table134567891011121323456789101112[[#This Row],[Offloading Litres]]</f>
        <v>-201</v>
      </c>
      <c r="K92" t="s">
        <v>25</v>
      </c>
      <c r="L92">
        <v>76492557</v>
      </c>
      <c r="M92" t="s">
        <v>3083</v>
      </c>
      <c r="N92">
        <v>0.68520000000000003</v>
      </c>
      <c r="O92" s="8">
        <f>Table134567891011121323456789101112[[#This Row],[Offloading Litres]]*Table134567891011121323456789101112[[#This Row],[Rate]]</f>
        <v>30206.356800000001</v>
      </c>
      <c r="P92" s="9" t="s">
        <v>2994</v>
      </c>
      <c r="Q92" t="s">
        <v>3319</v>
      </c>
    </row>
    <row r="93" spans="1:17" x14ac:dyDescent="0.3">
      <c r="A93" s="7">
        <v>45987</v>
      </c>
      <c r="B93" s="7">
        <v>45988</v>
      </c>
      <c r="C93" t="s">
        <v>1794</v>
      </c>
      <c r="D93" t="s">
        <v>35</v>
      </c>
      <c r="E93" t="s">
        <v>2938</v>
      </c>
      <c r="F93">
        <v>432950784</v>
      </c>
      <c r="G93">
        <v>803485182</v>
      </c>
      <c r="H93">
        <v>38811</v>
      </c>
      <c r="I93">
        <v>39044</v>
      </c>
      <c r="J93">
        <f>Table134567891011121323456789101112[[#This Row],[LOADED LITRES]]-Table134567891011121323456789101112[[#This Row],[Offloading Litres]]</f>
        <v>-233</v>
      </c>
      <c r="K93" t="s">
        <v>236</v>
      </c>
      <c r="L93" s="17" t="s">
        <v>3136</v>
      </c>
      <c r="M93" t="s">
        <v>3192</v>
      </c>
      <c r="N93">
        <v>0.62119999999999997</v>
      </c>
      <c r="O93" s="8">
        <f>Table134567891011121323456789101112[[#This Row],[Offloading Litres]]*Table134567891011121323456789101112[[#This Row],[Rate]]</f>
        <v>24254.132799999999</v>
      </c>
      <c r="Q93" t="s">
        <v>3331</v>
      </c>
    </row>
    <row r="94" spans="1:17" x14ac:dyDescent="0.3">
      <c r="A94" s="7">
        <v>45987</v>
      </c>
      <c r="B94" s="7">
        <v>45988</v>
      </c>
      <c r="C94" t="s">
        <v>30</v>
      </c>
      <c r="D94" t="s">
        <v>349</v>
      </c>
      <c r="E94" t="s">
        <v>40</v>
      </c>
      <c r="F94">
        <v>432797072</v>
      </c>
      <c r="G94">
        <v>803484984</v>
      </c>
      <c r="H94">
        <v>43723</v>
      </c>
      <c r="I94">
        <v>44053</v>
      </c>
      <c r="J94">
        <f>Table134567891011121323456789101112[[#This Row],[LOADED LITRES]]-Table134567891011121323456789101112[[#This Row],[Offloading Litres]]</f>
        <v>-330</v>
      </c>
      <c r="K94" t="s">
        <v>25</v>
      </c>
      <c r="L94">
        <v>76494652</v>
      </c>
      <c r="M94" t="s">
        <v>3084</v>
      </c>
      <c r="N94">
        <v>0.7409</v>
      </c>
      <c r="O94" s="8">
        <f>Table134567891011121323456789101112[[#This Row],[Offloading Litres]]*Table134567891011121323456789101112[[#This Row],[Rate]]</f>
        <v>32638.867699999999</v>
      </c>
      <c r="P94" s="9" t="s">
        <v>2995</v>
      </c>
      <c r="Q94" t="s">
        <v>3317</v>
      </c>
    </row>
    <row r="95" spans="1:17" x14ac:dyDescent="0.3">
      <c r="A95" s="7">
        <v>45987</v>
      </c>
      <c r="B95" s="7">
        <v>45989</v>
      </c>
      <c r="C95" t="s">
        <v>28</v>
      </c>
      <c r="D95" t="s">
        <v>33</v>
      </c>
      <c r="E95" t="s">
        <v>40</v>
      </c>
      <c r="F95">
        <v>432797069</v>
      </c>
      <c r="G95">
        <v>803485697</v>
      </c>
      <c r="H95">
        <v>44134</v>
      </c>
      <c r="I95">
        <v>44329</v>
      </c>
      <c r="J95">
        <f>Table134567891011121323456789101112[[#This Row],[LOADED LITRES]]-Table134567891011121323456789101112[[#This Row],[Offloading Litres]]</f>
        <v>-195</v>
      </c>
      <c r="K95" t="s">
        <v>25</v>
      </c>
      <c r="L95">
        <v>76495498</v>
      </c>
      <c r="M95" t="s">
        <v>3085</v>
      </c>
      <c r="N95">
        <v>0.7409</v>
      </c>
      <c r="O95" s="8">
        <f>Table134567891011121323456789101112[[#This Row],[Offloading Litres]]*Table134567891011121323456789101112[[#This Row],[Rate]]</f>
        <v>32843.356099999997</v>
      </c>
      <c r="P95" s="9" t="s">
        <v>2909</v>
      </c>
      <c r="Q95" t="s">
        <v>3318</v>
      </c>
    </row>
    <row r="96" spans="1:17" x14ac:dyDescent="0.3">
      <c r="A96" s="7">
        <v>45989</v>
      </c>
      <c r="B96" s="7">
        <v>45990</v>
      </c>
      <c r="C96" t="s">
        <v>21</v>
      </c>
      <c r="D96" t="s">
        <v>27</v>
      </c>
      <c r="E96" t="s">
        <v>187</v>
      </c>
      <c r="F96">
        <v>432983346</v>
      </c>
      <c r="G96">
        <v>803495732</v>
      </c>
      <c r="H96">
        <v>44284</v>
      </c>
      <c r="I96">
        <v>44638</v>
      </c>
      <c r="J96">
        <f>Table134567891011121323456789101112[[#This Row],[LOADED LITRES]]-Table134567891011121323456789101112[[#This Row],[Offloading Litres]]</f>
        <v>-354</v>
      </c>
      <c r="K96" t="s">
        <v>25</v>
      </c>
      <c r="L96">
        <v>76504847</v>
      </c>
      <c r="M96" t="s">
        <v>3086</v>
      </c>
      <c r="N96">
        <v>0.75629999999999997</v>
      </c>
      <c r="O96" s="8">
        <f>Table134567891011121323456789101112[[#This Row],[Offloading Litres]]*Table134567891011121323456789101112[[#This Row],[Rate]]</f>
        <v>33759.719400000002</v>
      </c>
      <c r="P96" s="9" t="s">
        <v>2997</v>
      </c>
      <c r="Q96" t="s">
        <v>3335</v>
      </c>
    </row>
    <row r="97" spans="1:17" x14ac:dyDescent="0.3">
      <c r="A97" s="7">
        <v>45989</v>
      </c>
      <c r="B97" s="7">
        <v>45990</v>
      </c>
      <c r="C97" t="s">
        <v>30</v>
      </c>
      <c r="D97" t="s">
        <v>24</v>
      </c>
      <c r="E97" t="s">
        <v>40</v>
      </c>
      <c r="F97">
        <v>432797075</v>
      </c>
      <c r="G97">
        <v>803497742</v>
      </c>
      <c r="H97">
        <v>43883</v>
      </c>
      <c r="I97">
        <v>44183</v>
      </c>
      <c r="J97">
        <f>Table134567891011121323456789101112[[#This Row],[LOADED LITRES]]-Table134567891011121323456789101112[[#This Row],[Offloading Litres]]</f>
        <v>-300</v>
      </c>
      <c r="K97" t="s">
        <v>25</v>
      </c>
      <c r="L97">
        <v>76507161</v>
      </c>
      <c r="M97" t="s">
        <v>3169</v>
      </c>
      <c r="N97">
        <v>0.7409</v>
      </c>
      <c r="O97" s="8">
        <f>Table134567891011121323456789101112[[#This Row],[Offloading Litres]]*Table134567891011121323456789101112[[#This Row],[Rate]]</f>
        <v>32735.184700000002</v>
      </c>
      <c r="P97" s="9" t="s">
        <v>2998</v>
      </c>
      <c r="Q97" t="s">
        <v>3314</v>
      </c>
    </row>
    <row r="98" spans="1:17" x14ac:dyDescent="0.3">
      <c r="A98" s="7">
        <v>45990</v>
      </c>
      <c r="B98" s="7">
        <v>45992</v>
      </c>
      <c r="C98" t="s">
        <v>28</v>
      </c>
      <c r="D98" t="s">
        <v>33</v>
      </c>
      <c r="E98" t="s">
        <v>187</v>
      </c>
      <c r="F98">
        <v>432983736</v>
      </c>
      <c r="G98">
        <v>803499444</v>
      </c>
      <c r="H98">
        <v>44065</v>
      </c>
      <c r="I98">
        <v>44244</v>
      </c>
      <c r="J98">
        <f>Table134567891011121323456789101112[[#This Row],[LOADED LITRES]]-Table134567891011121323456789101112[[#This Row],[Offloading Litres]]</f>
        <v>-179</v>
      </c>
      <c r="K98" t="s">
        <v>25</v>
      </c>
      <c r="L98">
        <v>76508806</v>
      </c>
      <c r="M98" t="s">
        <v>3092</v>
      </c>
      <c r="N98">
        <v>0.75629999999999997</v>
      </c>
      <c r="O98" s="8">
        <f>Table134567891011121323456789101112[[#This Row],[Offloading Litres]]*Table134567891011121323456789101112[[#This Row],[Rate]]</f>
        <v>33461.737199999996</v>
      </c>
      <c r="P98" s="9" t="s">
        <v>3088</v>
      </c>
      <c r="Q98" t="s">
        <v>3345</v>
      </c>
    </row>
    <row r="99" spans="1:17" x14ac:dyDescent="0.3">
      <c r="A99" s="7">
        <v>45990</v>
      </c>
      <c r="B99" s="7">
        <v>45991</v>
      </c>
      <c r="C99" t="s">
        <v>17</v>
      </c>
      <c r="D99" t="s">
        <v>19</v>
      </c>
      <c r="E99" t="s">
        <v>40</v>
      </c>
      <c r="F99">
        <v>432797076</v>
      </c>
      <c r="G99">
        <v>803499502</v>
      </c>
      <c r="H99">
        <v>43759</v>
      </c>
      <c r="I99">
        <v>43879</v>
      </c>
      <c r="J99">
        <f>Table134567891011121323456789101112[[#This Row],[LOADED LITRES]]-Table134567891011121323456789101112[[#This Row],[Offloading Litres]]</f>
        <v>-120</v>
      </c>
      <c r="K99" t="s">
        <v>25</v>
      </c>
      <c r="L99">
        <v>76508881</v>
      </c>
      <c r="M99" t="s">
        <v>3093</v>
      </c>
      <c r="N99">
        <v>0.7409</v>
      </c>
      <c r="O99" s="8">
        <f>Table134567891011121323456789101112[[#This Row],[Offloading Litres]]*Table134567891011121323456789101112[[#This Row],[Rate]]</f>
        <v>32509.951099999998</v>
      </c>
      <c r="P99" s="9" t="s">
        <v>3000</v>
      </c>
      <c r="Q99" t="s">
        <v>3315</v>
      </c>
    </row>
    <row r="100" spans="1:17" x14ac:dyDescent="0.3">
      <c r="A100" s="7">
        <v>45990</v>
      </c>
      <c r="B100" s="7">
        <v>45992</v>
      </c>
      <c r="C100" t="s">
        <v>22</v>
      </c>
      <c r="D100" t="s">
        <v>2906</v>
      </c>
      <c r="E100" t="s">
        <v>40</v>
      </c>
      <c r="F100">
        <v>432797083</v>
      </c>
      <c r="G100">
        <v>803500997</v>
      </c>
      <c r="H100">
        <v>43918</v>
      </c>
      <c r="I100">
        <v>43964</v>
      </c>
      <c r="J100">
        <f>Table134567891011121323456789101112[[#This Row],[LOADED LITRES]]-Table134567891011121323456789101112[[#This Row],[Offloading Litres]]</f>
        <v>-46</v>
      </c>
      <c r="K100" t="s">
        <v>25</v>
      </c>
      <c r="L100">
        <v>76510339</v>
      </c>
      <c r="M100" t="s">
        <v>3094</v>
      </c>
      <c r="N100">
        <v>0.7409</v>
      </c>
      <c r="O100" s="8">
        <f>Table134567891011121323456789101112[[#This Row],[Offloading Litres]]*Table134567891011121323456789101112[[#This Row],[Rate]]</f>
        <v>32572.927599999999</v>
      </c>
      <c r="P100" s="9" t="s">
        <v>3091</v>
      </c>
      <c r="Q100" t="s">
        <v>3337</v>
      </c>
    </row>
    <row r="101" spans="1:17" x14ac:dyDescent="0.3">
      <c r="A101" s="7">
        <v>45990</v>
      </c>
      <c r="B101" s="7">
        <v>45992</v>
      </c>
      <c r="C101" t="s">
        <v>1794</v>
      </c>
      <c r="D101" t="s">
        <v>2896</v>
      </c>
      <c r="E101" t="s">
        <v>40</v>
      </c>
      <c r="F101">
        <v>432797085</v>
      </c>
      <c r="G101">
        <v>803501292</v>
      </c>
      <c r="H101">
        <v>44439</v>
      </c>
      <c r="I101">
        <v>44449</v>
      </c>
      <c r="J101">
        <f>Table134567891011121323456789101112[[#This Row],[LOADED LITRES]]-Table134567891011121323456789101112[[#This Row],[Offloading Litres]]</f>
        <v>-10</v>
      </c>
      <c r="K101" t="s">
        <v>25</v>
      </c>
      <c r="L101">
        <v>76510619</v>
      </c>
      <c r="M101" t="s">
        <v>3095</v>
      </c>
      <c r="N101">
        <v>0.7409</v>
      </c>
      <c r="O101" s="8">
        <f>Table134567891011121323456789101112[[#This Row],[Offloading Litres]]*Table134567891011121323456789101112[[#This Row],[Rate]]</f>
        <v>32932.2641</v>
      </c>
      <c r="P101" s="9" t="s">
        <v>3087</v>
      </c>
      <c r="Q101" t="s">
        <v>3338</v>
      </c>
    </row>
    <row r="102" spans="1:17" x14ac:dyDescent="0.3">
      <c r="A102" s="7">
        <v>45991</v>
      </c>
      <c r="B102" s="7">
        <v>45992</v>
      </c>
      <c r="C102" t="s">
        <v>34</v>
      </c>
      <c r="D102" t="s">
        <v>15</v>
      </c>
      <c r="E102" t="s">
        <v>40</v>
      </c>
      <c r="F102">
        <v>432797086</v>
      </c>
      <c r="G102">
        <v>803502412</v>
      </c>
      <c r="H102">
        <v>43841</v>
      </c>
      <c r="I102">
        <v>44019</v>
      </c>
      <c r="J102">
        <f>Table134567891011121323456789101112[[#This Row],[LOADED LITRES]]-Table134567891011121323456789101112[[#This Row],[Offloading Litres]]</f>
        <v>-178</v>
      </c>
      <c r="K102" t="s">
        <v>25</v>
      </c>
      <c r="L102">
        <v>76511511</v>
      </c>
      <c r="M102" t="s">
        <v>3096</v>
      </c>
      <c r="N102">
        <v>0.7409</v>
      </c>
      <c r="O102" s="8">
        <f>Table134567891011121323456789101112[[#This Row],[Offloading Litres]]*Table134567891011121323456789101112[[#This Row],[Rate]]</f>
        <v>32613.677100000001</v>
      </c>
      <c r="P102" s="9" t="s">
        <v>3089</v>
      </c>
      <c r="Q102" t="s">
        <v>3342</v>
      </c>
    </row>
    <row r="103" spans="1:17" x14ac:dyDescent="0.3">
      <c r="A103" s="7">
        <v>45991</v>
      </c>
      <c r="B103" s="7">
        <v>45993</v>
      </c>
      <c r="C103" t="s">
        <v>30</v>
      </c>
      <c r="D103" t="s">
        <v>24</v>
      </c>
      <c r="E103" t="s">
        <v>3001</v>
      </c>
      <c r="F103">
        <v>432951049</v>
      </c>
      <c r="G103">
        <v>803503253</v>
      </c>
      <c r="H103">
        <v>38715</v>
      </c>
      <c r="J103">
        <f>Table134567891011121323456789101112[[#This Row],[LOADED LITRES]]-Table134567891011121323456789101112[[#This Row],[Offloading Litres]]</f>
        <v>38715</v>
      </c>
      <c r="K103" t="s">
        <v>32</v>
      </c>
      <c r="L103" s="18" t="s">
        <v>3144</v>
      </c>
      <c r="M103" t="s">
        <v>3193</v>
      </c>
      <c r="N103">
        <v>0.99</v>
      </c>
      <c r="O103" s="8">
        <f>Table134567891011121323456789101112[[#This Row],[Offloading Litres]]*Table134567891011121323456789101112[[#This Row],[Rate]]</f>
        <v>0</v>
      </c>
      <c r="P103" s="9" t="s">
        <v>3339</v>
      </c>
      <c r="Q103" t="s">
        <v>3343</v>
      </c>
    </row>
    <row r="104" spans="1:17" x14ac:dyDescent="0.3">
      <c r="A104" s="7">
        <v>45991</v>
      </c>
      <c r="B104" s="7">
        <v>45992</v>
      </c>
      <c r="C104" t="s">
        <v>23</v>
      </c>
      <c r="D104" t="s">
        <v>287</v>
      </c>
      <c r="E104" t="s">
        <v>40</v>
      </c>
      <c r="F104">
        <v>432797087</v>
      </c>
      <c r="G104">
        <v>803503288</v>
      </c>
      <c r="H104">
        <v>43877</v>
      </c>
      <c r="I104">
        <v>43979</v>
      </c>
      <c r="J104">
        <f>Table134567891011121323456789101112[[#This Row],[LOADED LITRES]]-Table134567891011121323456789101112[[#This Row],[Offloading Litres]]</f>
        <v>-102</v>
      </c>
      <c r="K104" t="s">
        <v>25</v>
      </c>
      <c r="L104">
        <v>76512055</v>
      </c>
      <c r="M104" t="s">
        <v>3097</v>
      </c>
      <c r="N104">
        <v>0.7409</v>
      </c>
      <c r="O104" s="8">
        <f>Table134567891011121323456789101112[[#This Row],[Offloading Litres]]*Table134567891011121323456789101112[[#This Row],[Rate]]</f>
        <v>32584.041099999999</v>
      </c>
      <c r="P104" s="9" t="s">
        <v>3090</v>
      </c>
      <c r="Q104" t="s">
        <v>3341</v>
      </c>
    </row>
    <row r="105" spans="1:17" x14ac:dyDescent="0.3">
      <c r="A105" s="47">
        <v>45966</v>
      </c>
      <c r="C105" s="43" t="s">
        <v>1588</v>
      </c>
      <c r="D105" s="43" t="s">
        <v>3002</v>
      </c>
      <c r="E105" s="43" t="s">
        <v>3011</v>
      </c>
      <c r="F105" s="44">
        <v>432155145</v>
      </c>
      <c r="G105">
        <v>803396113</v>
      </c>
      <c r="H105">
        <v>38796</v>
      </c>
      <c r="I105">
        <v>38796</v>
      </c>
      <c r="K105" t="s">
        <v>32</v>
      </c>
      <c r="L105" s="17" t="s">
        <v>3099</v>
      </c>
      <c r="M105" t="s">
        <v>3194</v>
      </c>
      <c r="N105">
        <v>0.56769999999999998</v>
      </c>
      <c r="P105" s="9" t="s">
        <v>3149</v>
      </c>
      <c r="Q105" t="s">
        <v>3300</v>
      </c>
    </row>
    <row r="106" spans="1:17" x14ac:dyDescent="0.3">
      <c r="A106" s="47">
        <v>45965</v>
      </c>
      <c r="C106" s="43" t="s">
        <v>2230</v>
      </c>
      <c r="D106" s="43" t="s">
        <v>3003</v>
      </c>
      <c r="E106" s="43" t="s">
        <v>3011</v>
      </c>
      <c r="F106" s="44">
        <v>432160792</v>
      </c>
      <c r="G106">
        <v>803389463</v>
      </c>
      <c r="H106">
        <v>39690</v>
      </c>
      <c r="I106">
        <v>39690</v>
      </c>
      <c r="K106" t="s">
        <v>32</v>
      </c>
      <c r="L106" s="17" t="s">
        <v>3098</v>
      </c>
      <c r="M106" t="s">
        <v>3195</v>
      </c>
      <c r="N106">
        <v>0.56769999999999998</v>
      </c>
      <c r="P106" s="9" t="s">
        <v>3151</v>
      </c>
      <c r="Q106" t="s">
        <v>3301</v>
      </c>
    </row>
    <row r="107" spans="1:17" x14ac:dyDescent="0.3">
      <c r="A107" s="47">
        <v>45967</v>
      </c>
      <c r="C107" s="43" t="s">
        <v>2233</v>
      </c>
      <c r="D107" s="43" t="s">
        <v>3004</v>
      </c>
      <c r="E107" s="43" t="s">
        <v>3011</v>
      </c>
      <c r="F107" s="44">
        <v>432155170</v>
      </c>
      <c r="G107">
        <v>803396071</v>
      </c>
      <c r="H107">
        <v>39776</v>
      </c>
      <c r="I107">
        <v>39776</v>
      </c>
      <c r="K107" t="s">
        <v>32</v>
      </c>
      <c r="L107" s="18" t="s">
        <v>3100</v>
      </c>
      <c r="M107" t="s">
        <v>3196</v>
      </c>
      <c r="N107">
        <v>0.56769999999999998</v>
      </c>
      <c r="P107" s="9" t="s">
        <v>3150</v>
      </c>
      <c r="Q107" t="s">
        <v>3232</v>
      </c>
    </row>
    <row r="108" spans="1:17" x14ac:dyDescent="0.3">
      <c r="A108" s="48">
        <v>45968</v>
      </c>
      <c r="C108" s="36" t="s">
        <v>2235</v>
      </c>
      <c r="D108" s="36" t="s">
        <v>3005</v>
      </c>
      <c r="E108" s="36" t="s">
        <v>3012</v>
      </c>
      <c r="F108" s="36" t="s">
        <v>3014</v>
      </c>
      <c r="G108" s="36" t="s">
        <v>3153</v>
      </c>
      <c r="H108">
        <v>33829</v>
      </c>
      <c r="I108">
        <v>33829</v>
      </c>
      <c r="K108" t="s">
        <v>236</v>
      </c>
      <c r="L108" s="17" t="s">
        <v>3147</v>
      </c>
      <c r="M108" t="s">
        <v>3197</v>
      </c>
      <c r="N108">
        <v>0.50409999999999999</v>
      </c>
      <c r="P108" s="9" t="s">
        <v>3154</v>
      </c>
      <c r="Q108" t="s">
        <v>3344</v>
      </c>
    </row>
    <row r="109" spans="1:17" x14ac:dyDescent="0.3">
      <c r="A109" s="48">
        <v>45968</v>
      </c>
      <c r="C109" s="36" t="s">
        <v>2233</v>
      </c>
      <c r="D109" s="36" t="s">
        <v>3004</v>
      </c>
      <c r="E109" s="36" t="s">
        <v>3011</v>
      </c>
      <c r="F109" s="36">
        <v>432286447</v>
      </c>
      <c r="G109">
        <v>803400878</v>
      </c>
      <c r="H109">
        <v>39827</v>
      </c>
      <c r="I109">
        <v>39827</v>
      </c>
      <c r="K109" t="s">
        <v>32</v>
      </c>
      <c r="L109" s="17" t="s">
        <v>3103</v>
      </c>
      <c r="M109" t="s">
        <v>3198</v>
      </c>
      <c r="N109">
        <v>0.56769999999999998</v>
      </c>
      <c r="P109" s="9" t="s">
        <v>3152</v>
      </c>
      <c r="Q109" t="s">
        <v>3243</v>
      </c>
    </row>
    <row r="110" spans="1:17" x14ac:dyDescent="0.3">
      <c r="A110" s="48">
        <v>45970</v>
      </c>
      <c r="C110" s="36" t="s">
        <v>2667</v>
      </c>
      <c r="D110" s="36" t="s">
        <v>3006</v>
      </c>
      <c r="E110" s="36" t="s">
        <v>3011</v>
      </c>
      <c r="F110" s="36">
        <v>432329106</v>
      </c>
      <c r="G110">
        <v>803409214</v>
      </c>
      <c r="H110">
        <v>39731</v>
      </c>
      <c r="I110" s="36">
        <v>39731</v>
      </c>
      <c r="K110" t="s">
        <v>32</v>
      </c>
      <c r="L110" s="17" t="s">
        <v>3104</v>
      </c>
      <c r="M110" t="s">
        <v>3199</v>
      </c>
      <c r="N110">
        <v>0.56769999999999998</v>
      </c>
      <c r="P110" s="9" t="s">
        <v>3155</v>
      </c>
      <c r="Q110" t="s">
        <v>3239</v>
      </c>
    </row>
    <row r="111" spans="1:17" x14ac:dyDescent="0.3">
      <c r="A111" s="48">
        <v>45970</v>
      </c>
      <c r="C111" s="36" t="s">
        <v>2251</v>
      </c>
      <c r="D111" s="36" t="s">
        <v>3007</v>
      </c>
      <c r="E111" s="36" t="s">
        <v>3011</v>
      </c>
      <c r="F111" s="36">
        <v>432331186</v>
      </c>
      <c r="G111">
        <v>803409137</v>
      </c>
      <c r="H111">
        <v>38855</v>
      </c>
      <c r="I111" s="36">
        <v>38855</v>
      </c>
      <c r="K111" t="s">
        <v>32</v>
      </c>
      <c r="L111" s="17" t="s">
        <v>3148</v>
      </c>
      <c r="M111" t="s">
        <v>3200</v>
      </c>
      <c r="N111">
        <v>0.56769999999999998</v>
      </c>
      <c r="P111" s="9" t="s">
        <v>3156</v>
      </c>
      <c r="Q111" t="s">
        <v>3302</v>
      </c>
    </row>
    <row r="112" spans="1:17" x14ac:dyDescent="0.3">
      <c r="A112" s="48">
        <v>45979</v>
      </c>
      <c r="C112" s="36" t="s">
        <v>2233</v>
      </c>
      <c r="D112" s="36" t="s">
        <v>3004</v>
      </c>
      <c r="E112" s="36" t="s">
        <v>3011</v>
      </c>
      <c r="F112" s="36">
        <v>432667497</v>
      </c>
      <c r="G112">
        <v>803448614</v>
      </c>
      <c r="H112">
        <v>39773</v>
      </c>
      <c r="I112" s="36">
        <v>39773</v>
      </c>
      <c r="K112" t="s">
        <v>32</v>
      </c>
      <c r="L112" s="17" t="s">
        <v>3113</v>
      </c>
      <c r="M112" t="s">
        <v>3201</v>
      </c>
      <c r="N112">
        <v>0.56769999999999998</v>
      </c>
      <c r="P112" s="9" t="s">
        <v>3157</v>
      </c>
      <c r="Q112" t="s">
        <v>3311</v>
      </c>
    </row>
    <row r="113" spans="1:17" x14ac:dyDescent="0.3">
      <c r="A113" s="48">
        <v>45979</v>
      </c>
      <c r="C113" s="36" t="s">
        <v>2230</v>
      </c>
      <c r="D113" s="36" t="s">
        <v>3008</v>
      </c>
      <c r="E113" s="36" t="s">
        <v>3011</v>
      </c>
      <c r="F113" s="36">
        <v>432667514</v>
      </c>
      <c r="G113">
        <v>803449018</v>
      </c>
      <c r="H113">
        <v>39775</v>
      </c>
      <c r="I113" s="36">
        <v>39775</v>
      </c>
      <c r="K113" t="s">
        <v>32</v>
      </c>
      <c r="L113" s="17" t="s">
        <v>3114</v>
      </c>
      <c r="M113" t="s">
        <v>3202</v>
      </c>
      <c r="N113">
        <v>0.56769999999999998</v>
      </c>
      <c r="Q113" t="s">
        <v>3297</v>
      </c>
    </row>
    <row r="114" spans="1:17" x14ac:dyDescent="0.3">
      <c r="A114" s="48">
        <v>45980</v>
      </c>
      <c r="C114" s="36" t="s">
        <v>2227</v>
      </c>
      <c r="D114" s="36" t="s">
        <v>3009</v>
      </c>
      <c r="E114" s="36" t="s">
        <v>3011</v>
      </c>
      <c r="F114" s="36">
        <v>432739148</v>
      </c>
      <c r="G114">
        <v>803455143</v>
      </c>
      <c r="H114">
        <v>39660</v>
      </c>
      <c r="I114" s="36">
        <v>39660</v>
      </c>
      <c r="K114" t="s">
        <v>32</v>
      </c>
      <c r="L114" s="17" t="s">
        <v>3121</v>
      </c>
      <c r="M114" t="s">
        <v>3203</v>
      </c>
      <c r="N114">
        <v>0.56769999999999998</v>
      </c>
      <c r="P114" s="9" t="s">
        <v>3158</v>
      </c>
      <c r="Q114" t="s">
        <v>3299</v>
      </c>
    </row>
    <row r="115" spans="1:17" x14ac:dyDescent="0.3">
      <c r="A115" s="48">
        <v>45981</v>
      </c>
      <c r="C115" s="36" t="s">
        <v>2655</v>
      </c>
      <c r="D115" s="36" t="s">
        <v>3003</v>
      </c>
      <c r="E115" s="36" t="s">
        <v>3012</v>
      </c>
      <c r="F115" s="36">
        <v>432739184</v>
      </c>
      <c r="G115">
        <v>803457675</v>
      </c>
      <c r="H115">
        <v>39782</v>
      </c>
      <c r="I115" s="36">
        <v>39782</v>
      </c>
      <c r="K115" t="s">
        <v>32</v>
      </c>
      <c r="L115" s="17" t="s">
        <v>3118</v>
      </c>
      <c r="M115" t="s">
        <v>3204</v>
      </c>
      <c r="N115">
        <v>0.56769999999999998</v>
      </c>
      <c r="P115" s="9" t="s">
        <v>3159</v>
      </c>
      <c r="Q115" t="s">
        <v>3287</v>
      </c>
    </row>
    <row r="116" spans="1:17" x14ac:dyDescent="0.3">
      <c r="A116" s="48">
        <v>45980</v>
      </c>
      <c r="C116" s="36" t="s">
        <v>2233</v>
      </c>
      <c r="D116" s="36" t="s">
        <v>3004</v>
      </c>
      <c r="E116" s="36" t="s">
        <v>3011</v>
      </c>
      <c r="F116" s="36">
        <v>432739159</v>
      </c>
      <c r="H116">
        <v>39751</v>
      </c>
      <c r="I116" s="36">
        <v>39751</v>
      </c>
      <c r="K116" t="s">
        <v>32</v>
      </c>
      <c r="L116" s="17" t="s">
        <v>3122</v>
      </c>
      <c r="M116" t="s">
        <v>3205</v>
      </c>
      <c r="N116">
        <v>0.50409999999999999</v>
      </c>
      <c r="Q116" t="s">
        <v>3332</v>
      </c>
    </row>
    <row r="117" spans="1:17" x14ac:dyDescent="0.3">
      <c r="A117" s="48">
        <v>45981</v>
      </c>
      <c r="C117" s="36" t="s">
        <v>2227</v>
      </c>
      <c r="D117" s="36" t="s">
        <v>3009</v>
      </c>
      <c r="E117" s="36" t="s">
        <v>3011</v>
      </c>
      <c r="F117" s="36">
        <v>432783896</v>
      </c>
      <c r="G117">
        <v>803461789</v>
      </c>
      <c r="H117">
        <v>39726</v>
      </c>
      <c r="I117" s="36">
        <v>39726</v>
      </c>
      <c r="K117" t="s">
        <v>32</v>
      </c>
      <c r="L117" s="17" t="s">
        <v>3123</v>
      </c>
      <c r="M117" t="s">
        <v>3206</v>
      </c>
      <c r="N117">
        <v>0.56769999999999998</v>
      </c>
      <c r="P117" s="9" t="s">
        <v>3160</v>
      </c>
      <c r="Q117" t="s">
        <v>3288</v>
      </c>
    </row>
    <row r="118" spans="1:17" x14ac:dyDescent="0.3">
      <c r="A118" s="48">
        <v>45982</v>
      </c>
      <c r="C118" s="36" t="s">
        <v>1588</v>
      </c>
      <c r="D118" s="36" t="s">
        <v>3002</v>
      </c>
      <c r="E118" s="36" t="s">
        <v>3011</v>
      </c>
      <c r="F118" s="36">
        <v>432783917</v>
      </c>
      <c r="H118">
        <v>38683</v>
      </c>
      <c r="I118" s="36">
        <v>38683</v>
      </c>
      <c r="K118" t="s">
        <v>32</v>
      </c>
      <c r="L118" s="17" t="s">
        <v>3124</v>
      </c>
      <c r="M118" t="s">
        <v>3207</v>
      </c>
      <c r="N118">
        <v>0.56769999999999998</v>
      </c>
      <c r="Q118" t="s">
        <v>3346</v>
      </c>
    </row>
    <row r="119" spans="1:17" x14ac:dyDescent="0.3">
      <c r="A119" s="48">
        <v>45984</v>
      </c>
      <c r="C119" s="36" t="s">
        <v>2227</v>
      </c>
      <c r="D119" s="36" t="s">
        <v>3009</v>
      </c>
      <c r="E119" s="36" t="s">
        <v>3012</v>
      </c>
      <c r="F119" s="36">
        <v>432783959</v>
      </c>
      <c r="G119">
        <v>803469461</v>
      </c>
      <c r="H119">
        <v>39694</v>
      </c>
      <c r="I119" s="36">
        <v>39694</v>
      </c>
      <c r="K119" t="s">
        <v>32</v>
      </c>
      <c r="L119" s="17" t="s">
        <v>3130</v>
      </c>
      <c r="M119" t="s">
        <v>3208</v>
      </c>
      <c r="N119">
        <v>0.50409999999999999</v>
      </c>
      <c r="P119" s="9" t="s">
        <v>3162</v>
      </c>
      <c r="Q119" t="s">
        <v>3330</v>
      </c>
    </row>
    <row r="120" spans="1:17" x14ac:dyDescent="0.3">
      <c r="A120" s="48">
        <v>45984</v>
      </c>
      <c r="C120" s="36" t="s">
        <v>1588</v>
      </c>
      <c r="D120" s="36" t="s">
        <v>3002</v>
      </c>
      <c r="E120" s="36" t="s">
        <v>3011</v>
      </c>
      <c r="F120" s="36">
        <v>432783945</v>
      </c>
      <c r="H120">
        <v>38726</v>
      </c>
      <c r="I120" s="36">
        <v>38726</v>
      </c>
      <c r="K120" t="s">
        <v>32</v>
      </c>
      <c r="L120" s="17" t="s">
        <v>3129</v>
      </c>
      <c r="M120" t="s">
        <v>3209</v>
      </c>
      <c r="N120">
        <v>0.56769999999999998</v>
      </c>
      <c r="Q120" t="s">
        <v>3333</v>
      </c>
    </row>
    <row r="121" spans="1:17" x14ac:dyDescent="0.3">
      <c r="A121" s="48">
        <v>45982</v>
      </c>
      <c r="C121" s="36" t="s">
        <v>2655</v>
      </c>
      <c r="D121" s="36" t="s">
        <v>3003</v>
      </c>
      <c r="E121" s="36" t="s">
        <v>3013</v>
      </c>
      <c r="F121" s="36">
        <v>432818231</v>
      </c>
      <c r="G121">
        <v>803464997</v>
      </c>
      <c r="H121">
        <v>39651</v>
      </c>
      <c r="I121">
        <v>39651</v>
      </c>
      <c r="K121" t="s">
        <v>32</v>
      </c>
      <c r="L121" s="17" t="s">
        <v>3126</v>
      </c>
      <c r="M121" t="s">
        <v>3210</v>
      </c>
      <c r="N121">
        <v>0.62119999999999997</v>
      </c>
      <c r="P121" s="9" t="s">
        <v>3163</v>
      </c>
      <c r="Q121" t="s">
        <v>3286</v>
      </c>
    </row>
    <row r="122" spans="1:17" x14ac:dyDescent="0.3">
      <c r="A122" s="47">
        <v>45986</v>
      </c>
      <c r="C122" s="43" t="s">
        <v>2227</v>
      </c>
      <c r="D122" s="43" t="s">
        <v>3009</v>
      </c>
      <c r="E122" s="43" t="s">
        <v>3011</v>
      </c>
      <c r="F122" s="44">
        <v>432901311</v>
      </c>
      <c r="G122">
        <v>803475296</v>
      </c>
      <c r="H122">
        <v>39720</v>
      </c>
      <c r="I122">
        <v>39720</v>
      </c>
      <c r="K122" t="s">
        <v>32</v>
      </c>
      <c r="L122" s="17" t="s">
        <v>3132</v>
      </c>
      <c r="M122" t="s">
        <v>3211</v>
      </c>
      <c r="N122">
        <v>0.56769999999999998</v>
      </c>
      <c r="P122" s="9" t="s">
        <v>3164</v>
      </c>
      <c r="Q122" t="s">
        <v>3327</v>
      </c>
    </row>
    <row r="123" spans="1:17" x14ac:dyDescent="0.3">
      <c r="A123" s="47">
        <v>45985</v>
      </c>
      <c r="C123" s="43" t="s">
        <v>1588</v>
      </c>
      <c r="D123" s="43" t="s">
        <v>3002</v>
      </c>
      <c r="E123" s="43" t="s">
        <v>3011</v>
      </c>
      <c r="F123" s="44">
        <v>432901344</v>
      </c>
      <c r="H123">
        <v>38722</v>
      </c>
      <c r="I123">
        <v>38722</v>
      </c>
      <c r="K123" t="s">
        <v>32</v>
      </c>
      <c r="L123" s="18" t="s">
        <v>3134</v>
      </c>
      <c r="M123" t="s">
        <v>3212</v>
      </c>
      <c r="N123">
        <v>0.56769999999999998</v>
      </c>
      <c r="Q123" t="s">
        <v>3334</v>
      </c>
    </row>
    <row r="124" spans="1:17" x14ac:dyDescent="0.3">
      <c r="A124" s="47">
        <v>45988</v>
      </c>
      <c r="C124" s="43" t="s">
        <v>2227</v>
      </c>
      <c r="D124" s="43" t="s">
        <v>3009</v>
      </c>
      <c r="E124" s="43" t="s">
        <v>3011</v>
      </c>
      <c r="F124" s="44">
        <v>432950801</v>
      </c>
      <c r="G124">
        <v>803485019</v>
      </c>
      <c r="H124">
        <v>39631</v>
      </c>
      <c r="I124">
        <v>39631</v>
      </c>
      <c r="K124" t="s">
        <v>32</v>
      </c>
      <c r="L124" s="17" t="s">
        <v>3135</v>
      </c>
      <c r="M124" t="s">
        <v>3213</v>
      </c>
      <c r="N124">
        <v>0.56769999999999998</v>
      </c>
      <c r="P124" s="9" t="s">
        <v>3165</v>
      </c>
      <c r="Q124" t="s">
        <v>3328</v>
      </c>
    </row>
    <row r="125" spans="1:17" x14ac:dyDescent="0.3">
      <c r="A125" s="47">
        <v>45984</v>
      </c>
      <c r="C125" s="43" t="s">
        <v>2227</v>
      </c>
      <c r="D125" s="43" t="s">
        <v>3009</v>
      </c>
      <c r="E125" s="43" t="s">
        <v>3011</v>
      </c>
      <c r="F125" s="44">
        <v>432783933</v>
      </c>
      <c r="G125">
        <v>803467181</v>
      </c>
      <c r="H125">
        <v>39731</v>
      </c>
      <c r="I125">
        <v>39731</v>
      </c>
      <c r="K125" t="s">
        <v>32</v>
      </c>
      <c r="L125" s="17" t="s">
        <v>3128</v>
      </c>
      <c r="M125" t="s">
        <v>3214</v>
      </c>
      <c r="N125">
        <v>0.56769999999999998</v>
      </c>
      <c r="P125" s="9" t="s">
        <v>3161</v>
      </c>
      <c r="Q125" t="s">
        <v>3329</v>
      </c>
    </row>
    <row r="126" spans="1:17" x14ac:dyDescent="0.3">
      <c r="A126" s="49">
        <v>45989</v>
      </c>
      <c r="C126" s="45" t="s">
        <v>1596</v>
      </c>
      <c r="D126" s="45" t="s">
        <v>3010</v>
      </c>
      <c r="E126" s="45" t="s">
        <v>3011</v>
      </c>
      <c r="F126" s="46">
        <v>432992481</v>
      </c>
      <c r="H126">
        <v>39339</v>
      </c>
      <c r="I126">
        <v>39339</v>
      </c>
      <c r="K126" t="s">
        <v>32</v>
      </c>
      <c r="L126" s="17" t="s">
        <v>3139</v>
      </c>
      <c r="M126" t="s">
        <v>3215</v>
      </c>
      <c r="N126">
        <v>0.56769999999999998</v>
      </c>
    </row>
    <row r="127" spans="1:17" x14ac:dyDescent="0.3">
      <c r="A127" s="47">
        <v>45990</v>
      </c>
      <c r="C127" s="43" t="s">
        <v>2251</v>
      </c>
      <c r="D127" s="43" t="s">
        <v>3007</v>
      </c>
      <c r="E127" s="43" t="s">
        <v>3013</v>
      </c>
      <c r="F127" s="44">
        <v>433046485</v>
      </c>
      <c r="G127">
        <v>433046485</v>
      </c>
      <c r="H127">
        <v>38848</v>
      </c>
      <c r="I127">
        <v>38848</v>
      </c>
      <c r="K127" t="s">
        <v>32</v>
      </c>
      <c r="L127" s="17" t="s">
        <v>3137</v>
      </c>
      <c r="M127" t="s">
        <v>3216</v>
      </c>
      <c r="N127">
        <v>0.62119999999999997</v>
      </c>
      <c r="P127" s="9" t="s">
        <v>3168</v>
      </c>
      <c r="Q127" t="s">
        <v>3316</v>
      </c>
    </row>
    <row r="128" spans="1:17" x14ac:dyDescent="0.3">
      <c r="A128" s="47">
        <v>45989</v>
      </c>
      <c r="C128" s="43" t="s">
        <v>1588</v>
      </c>
      <c r="D128" s="43" t="s">
        <v>3002</v>
      </c>
      <c r="E128" s="43" t="s">
        <v>3011</v>
      </c>
      <c r="F128" s="44">
        <v>432992473</v>
      </c>
      <c r="H128">
        <v>38735</v>
      </c>
      <c r="I128">
        <v>38735</v>
      </c>
      <c r="K128" t="s">
        <v>32</v>
      </c>
      <c r="L128" s="18" t="s">
        <v>3138</v>
      </c>
      <c r="M128" t="s">
        <v>3217</v>
      </c>
      <c r="N128">
        <v>0.56769999999999998</v>
      </c>
      <c r="Q128" t="s">
        <v>3336</v>
      </c>
    </row>
    <row r="129" spans="1:17" ht="28.8" x14ac:dyDescent="0.3">
      <c r="A129" s="47">
        <v>45991</v>
      </c>
      <c r="C129" s="43" t="s">
        <v>2251</v>
      </c>
      <c r="D129" s="43" t="s">
        <v>3007</v>
      </c>
      <c r="E129" s="43" t="s">
        <v>243</v>
      </c>
      <c r="F129" s="17" t="s">
        <v>3142</v>
      </c>
      <c r="G129" s="43" t="s">
        <v>3166</v>
      </c>
      <c r="H129">
        <v>41657</v>
      </c>
      <c r="I129">
        <v>41657</v>
      </c>
      <c r="K129" t="s">
        <v>32</v>
      </c>
      <c r="L129" s="17" t="s">
        <v>3141</v>
      </c>
      <c r="M129" t="s">
        <v>3218</v>
      </c>
      <c r="N129">
        <v>0.50409999999999999</v>
      </c>
      <c r="P129" s="9" t="s">
        <v>3167</v>
      </c>
      <c r="Q129" t="s">
        <v>3347</v>
      </c>
    </row>
    <row r="130" spans="1:17" x14ac:dyDescent="0.3">
      <c r="A130" s="50">
        <v>45991</v>
      </c>
      <c r="C130" s="43" t="s">
        <v>1588</v>
      </c>
      <c r="D130" s="43" t="s">
        <v>3145</v>
      </c>
      <c r="E130" s="43" t="s">
        <v>1399</v>
      </c>
      <c r="F130" s="17">
        <v>432950809</v>
      </c>
      <c r="H130">
        <v>38703</v>
      </c>
      <c r="I130">
        <v>38703</v>
      </c>
      <c r="K130" t="s">
        <v>32</v>
      </c>
      <c r="L130" s="17" t="s">
        <v>3146</v>
      </c>
      <c r="M130" t="s">
        <v>3218</v>
      </c>
      <c r="N130">
        <v>0.56769999999999998</v>
      </c>
      <c r="Q130" t="s">
        <v>3340</v>
      </c>
    </row>
  </sheetData>
  <conditionalFormatting sqref="F1:G1">
    <cfRule type="duplicateValues" dxfId="3" priority="1"/>
  </conditionalFormatting>
  <conditionalFormatting sqref="G1">
    <cfRule type="duplicateValues" dxfId="2" priority="2"/>
  </conditionalFormatting>
  <conditionalFormatting sqref="L1">
    <cfRule type="duplicateValues" dxfId="1" priority="3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63BD1-9B5E-4ECE-8E9C-0BE398ADBE63}">
  <dimension ref="A1:Q147"/>
  <sheetViews>
    <sheetView tabSelected="1" topLeftCell="G63" workbookViewId="0">
      <selection activeCell="O85" sqref="O85"/>
    </sheetView>
  </sheetViews>
  <sheetFormatPr defaultRowHeight="14.4" x14ac:dyDescent="0.3"/>
  <cols>
    <col min="1" max="1" width="13.6640625" style="50" bestFit="1" customWidth="1"/>
    <col min="2" max="2" width="19.33203125" style="50" customWidth="1"/>
    <col min="3" max="3" width="13.109375" bestFit="1" customWidth="1"/>
    <col min="4" max="4" width="13.109375" customWidth="1"/>
    <col min="5" max="5" width="23.77734375" bestFit="1" customWidth="1"/>
    <col min="6" max="6" width="23.77734375" customWidth="1"/>
    <col min="7" max="7" width="19.44140625" bestFit="1" customWidth="1"/>
    <col min="8" max="8" width="15.44140625" bestFit="1" customWidth="1"/>
    <col min="9" max="9" width="17.21875" style="59" bestFit="1" customWidth="1"/>
    <col min="10" max="11" width="17.21875" style="59" customWidth="1"/>
    <col min="12" max="12" width="27.21875" bestFit="1" customWidth="1"/>
    <col min="13" max="13" width="16.77734375" customWidth="1"/>
    <col min="14" max="14" width="16.21875" bestFit="1" customWidth="1"/>
    <col min="15" max="15" width="17.109375" bestFit="1" customWidth="1"/>
    <col min="16" max="16" width="17.109375" customWidth="1"/>
    <col min="17" max="17" width="16.88671875" bestFit="1" customWidth="1"/>
    <col min="20" max="20" width="10.77734375" bestFit="1" customWidth="1"/>
    <col min="21" max="21" width="8.44140625" bestFit="1" customWidth="1"/>
    <col min="22" max="22" width="14.6640625" customWidth="1"/>
  </cols>
  <sheetData>
    <row r="1" spans="1:17" ht="15" thickBot="1" x14ac:dyDescent="0.35">
      <c r="A1" s="51" t="s">
        <v>0</v>
      </c>
      <c r="B1" s="51" t="s">
        <v>3443</v>
      </c>
      <c r="C1" s="53" t="s">
        <v>38</v>
      </c>
      <c r="D1" s="53" t="s">
        <v>3445</v>
      </c>
      <c r="E1" s="53" t="s">
        <v>2</v>
      </c>
      <c r="F1" s="53" t="s">
        <v>3446</v>
      </c>
      <c r="G1" s="57" t="s">
        <v>37</v>
      </c>
      <c r="H1" s="38" t="s">
        <v>7</v>
      </c>
      <c r="I1" s="38" t="s">
        <v>36</v>
      </c>
      <c r="J1" s="53" t="s">
        <v>3447</v>
      </c>
      <c r="K1" s="53" t="s">
        <v>3448</v>
      </c>
      <c r="L1" s="53" t="s">
        <v>3449</v>
      </c>
      <c r="M1" s="52" t="s">
        <v>1</v>
      </c>
      <c r="N1" s="38" t="s">
        <v>5</v>
      </c>
      <c r="O1" s="41" t="s">
        <v>12</v>
      </c>
      <c r="P1" s="41" t="s">
        <v>3450</v>
      </c>
      <c r="Q1" s="38" t="s">
        <v>6</v>
      </c>
    </row>
    <row r="2" spans="1:17" ht="15" thickTop="1" x14ac:dyDescent="0.3">
      <c r="A2" s="50">
        <v>45992</v>
      </c>
      <c r="B2" s="50" t="s">
        <v>3444</v>
      </c>
      <c r="C2" t="s">
        <v>17</v>
      </c>
      <c r="E2" t="s">
        <v>3354</v>
      </c>
      <c r="G2" s="54">
        <v>432623567</v>
      </c>
      <c r="H2" t="s">
        <v>25</v>
      </c>
      <c r="I2">
        <v>43835</v>
      </c>
      <c r="J2"/>
      <c r="K2"/>
      <c r="L2" t="s">
        <v>16</v>
      </c>
      <c r="M2" s="50">
        <v>45993</v>
      </c>
      <c r="N2">
        <v>44008</v>
      </c>
      <c r="O2" s="9" t="s">
        <v>3377</v>
      </c>
      <c r="P2" s="9"/>
      <c r="Q2">
        <f>Table13456789101112132345678910111213[[#This Row],[LOADED LITRES]]-Table13456789101112132345678910111213[[#This Row],[Offloading Litres]]</f>
        <v>-173</v>
      </c>
    </row>
    <row r="3" spans="1:17" x14ac:dyDescent="0.3">
      <c r="A3" s="50">
        <v>45992</v>
      </c>
      <c r="B3" s="50" t="s">
        <v>3444</v>
      </c>
      <c r="C3" t="s">
        <v>2233</v>
      </c>
      <c r="E3" t="s">
        <v>3439</v>
      </c>
      <c r="G3" s="55">
        <v>432951217</v>
      </c>
      <c r="H3" t="s">
        <v>32</v>
      </c>
      <c r="I3">
        <v>40003</v>
      </c>
      <c r="J3"/>
      <c r="K3"/>
      <c r="L3" t="s">
        <v>2224</v>
      </c>
      <c r="M3" s="50"/>
      <c r="N3">
        <v>40142</v>
      </c>
      <c r="O3" s="9"/>
      <c r="P3" s="9"/>
      <c r="Q3">
        <f>Table13456789101112132345678910111213[[#This Row],[LOADED LITRES]]-Table13456789101112132345678910111213[[#This Row],[Offloading Litres]]</f>
        <v>-139</v>
      </c>
    </row>
    <row r="4" spans="1:17" x14ac:dyDescent="0.3">
      <c r="A4" s="50">
        <v>45993</v>
      </c>
      <c r="B4" s="50" t="s">
        <v>3444</v>
      </c>
      <c r="C4" t="s">
        <v>22</v>
      </c>
      <c r="E4" t="s">
        <v>3348</v>
      </c>
      <c r="G4" s="58">
        <v>433067972</v>
      </c>
      <c r="H4" t="s">
        <v>32</v>
      </c>
      <c r="I4">
        <v>39681</v>
      </c>
      <c r="J4"/>
      <c r="K4"/>
      <c r="L4" t="s">
        <v>40</v>
      </c>
      <c r="M4" s="50">
        <v>45994</v>
      </c>
      <c r="N4">
        <v>39754</v>
      </c>
      <c r="O4" s="9" t="s">
        <v>3373</v>
      </c>
      <c r="P4" s="9"/>
      <c r="Q4">
        <f>Table13456789101112132345678910111213[[#This Row],[LOADED LITRES]]-Table13456789101112132345678910111213[[#This Row],[Offloading Litres]]</f>
        <v>-73</v>
      </c>
    </row>
    <row r="5" spans="1:17" x14ac:dyDescent="0.3">
      <c r="A5" s="50">
        <v>45993</v>
      </c>
      <c r="B5" s="50" t="s">
        <v>3444</v>
      </c>
      <c r="C5" t="s">
        <v>28</v>
      </c>
      <c r="E5" t="s">
        <v>3355</v>
      </c>
      <c r="G5" s="58">
        <v>433068173</v>
      </c>
      <c r="H5" t="s">
        <v>32</v>
      </c>
      <c r="I5">
        <v>39513</v>
      </c>
      <c r="J5"/>
      <c r="K5"/>
      <c r="L5" t="s">
        <v>40</v>
      </c>
      <c r="M5" s="50">
        <v>45995</v>
      </c>
      <c r="N5">
        <v>39513</v>
      </c>
      <c r="O5" s="9" t="s">
        <v>3368</v>
      </c>
      <c r="P5" s="9"/>
      <c r="Q5">
        <f>Table13456789101112132345678910111213[[#This Row],[LOADED LITRES]]-Table13456789101112132345678910111213[[#This Row],[Offloading Litres]]</f>
        <v>0</v>
      </c>
    </row>
    <row r="6" spans="1:17" x14ac:dyDescent="0.3">
      <c r="A6" s="50">
        <v>45993</v>
      </c>
      <c r="B6" s="50" t="s">
        <v>3444</v>
      </c>
      <c r="C6" t="s">
        <v>1794</v>
      </c>
      <c r="E6" t="s">
        <v>2896</v>
      </c>
      <c r="G6" s="58">
        <v>433110710</v>
      </c>
      <c r="H6" t="s">
        <v>32</v>
      </c>
      <c r="I6">
        <v>39704</v>
      </c>
      <c r="J6"/>
      <c r="K6"/>
      <c r="L6" t="s">
        <v>16</v>
      </c>
      <c r="M6" s="50">
        <v>45994</v>
      </c>
      <c r="N6">
        <v>39808</v>
      </c>
      <c r="O6" s="9" t="s">
        <v>3372</v>
      </c>
      <c r="P6" s="9"/>
      <c r="Q6">
        <f>Table13456789101112132345678910111213[[#This Row],[LOADED LITRES]]-Table13456789101112132345678910111213[[#This Row],[Offloading Litres]]</f>
        <v>-104</v>
      </c>
    </row>
    <row r="7" spans="1:17" x14ac:dyDescent="0.3">
      <c r="A7" s="50">
        <v>45993</v>
      </c>
      <c r="B7" s="50" t="s">
        <v>3444</v>
      </c>
      <c r="C7" t="s">
        <v>34</v>
      </c>
      <c r="E7" t="s">
        <v>3358</v>
      </c>
      <c r="G7" s="60">
        <v>433212251</v>
      </c>
      <c r="H7" t="s">
        <v>236</v>
      </c>
      <c r="I7">
        <v>41455</v>
      </c>
      <c r="J7"/>
      <c r="K7"/>
      <c r="L7" t="s">
        <v>2248</v>
      </c>
      <c r="M7" s="50">
        <v>45994</v>
      </c>
      <c r="N7">
        <v>41707</v>
      </c>
      <c r="O7" s="9" t="s">
        <v>3376</v>
      </c>
      <c r="P7" s="9"/>
      <c r="Q7">
        <f>Table13456789101112132345678910111213[[#This Row],[LOADED LITRES]]-Table13456789101112132345678910111213[[#This Row],[Offloading Litres]]</f>
        <v>-252</v>
      </c>
    </row>
    <row r="8" spans="1:17" x14ac:dyDescent="0.3">
      <c r="A8" s="50">
        <v>45993</v>
      </c>
      <c r="B8" s="50" t="s">
        <v>3444</v>
      </c>
      <c r="C8" t="s">
        <v>1588</v>
      </c>
      <c r="E8" t="s">
        <v>3440</v>
      </c>
      <c r="G8" s="60">
        <v>433212471</v>
      </c>
      <c r="H8" t="s">
        <v>32</v>
      </c>
      <c r="I8">
        <v>38742</v>
      </c>
      <c r="J8"/>
      <c r="K8"/>
      <c r="L8" t="s">
        <v>2224</v>
      </c>
      <c r="M8" s="50"/>
      <c r="N8">
        <v>38834</v>
      </c>
      <c r="O8" s="9"/>
      <c r="P8" s="9"/>
      <c r="Q8">
        <f>Table13456789101112132345678910111213[[#This Row],[LOADED LITRES]]-Table13456789101112132345678910111213[[#This Row],[Offloading Litres]]</f>
        <v>-92</v>
      </c>
    </row>
    <row r="9" spans="1:17" x14ac:dyDescent="0.3">
      <c r="A9" s="50">
        <v>45993</v>
      </c>
      <c r="B9" s="50" t="s">
        <v>3444</v>
      </c>
      <c r="C9" t="s">
        <v>2251</v>
      </c>
      <c r="E9" t="s">
        <v>3007</v>
      </c>
      <c r="G9" s="60">
        <v>433224897</v>
      </c>
      <c r="H9" t="s">
        <v>32</v>
      </c>
      <c r="I9">
        <v>39758</v>
      </c>
      <c r="J9"/>
      <c r="K9"/>
      <c r="L9" t="s">
        <v>3441</v>
      </c>
      <c r="M9" s="50"/>
      <c r="O9" s="9"/>
      <c r="P9" s="9"/>
      <c r="Q9">
        <f>Table13456789101112132345678910111213[[#This Row],[LOADED LITRES]]-Table13456789101112132345678910111213[[#This Row],[Offloading Litres]]</f>
        <v>39758</v>
      </c>
    </row>
    <row r="10" spans="1:17" x14ac:dyDescent="0.3">
      <c r="A10" s="50">
        <v>45993</v>
      </c>
      <c r="B10" s="50" t="s">
        <v>3444</v>
      </c>
      <c r="C10" t="s">
        <v>2227</v>
      </c>
      <c r="E10" t="s">
        <v>3009</v>
      </c>
      <c r="G10" s="60">
        <v>433212482</v>
      </c>
      <c r="H10" t="s">
        <v>32</v>
      </c>
      <c r="I10">
        <v>39674</v>
      </c>
      <c r="J10"/>
      <c r="K10"/>
      <c r="L10" t="s">
        <v>2224</v>
      </c>
      <c r="M10" s="50"/>
      <c r="N10">
        <v>39816</v>
      </c>
      <c r="O10" s="9"/>
      <c r="P10" s="9"/>
      <c r="Q10">
        <f>Table13456789101112132345678910111213[[#This Row],[LOADED LITRES]]-Table13456789101112132345678910111213[[#This Row],[Offloading Litres]]</f>
        <v>-142</v>
      </c>
    </row>
    <row r="11" spans="1:17" x14ac:dyDescent="0.3">
      <c r="A11" s="50">
        <v>45994</v>
      </c>
      <c r="B11" s="50" t="s">
        <v>3444</v>
      </c>
      <c r="C11" t="s">
        <v>21</v>
      </c>
      <c r="E11" t="s">
        <v>3351</v>
      </c>
      <c r="G11" s="58">
        <v>433068365</v>
      </c>
      <c r="H11" t="s">
        <v>32</v>
      </c>
      <c r="I11">
        <v>39262</v>
      </c>
      <c r="J11"/>
      <c r="K11"/>
      <c r="L11" t="s">
        <v>40</v>
      </c>
      <c r="M11" s="50">
        <v>45995</v>
      </c>
      <c r="N11">
        <v>39342</v>
      </c>
      <c r="O11" s="9" t="s">
        <v>3370</v>
      </c>
      <c r="P11" s="9"/>
      <c r="Q11">
        <f>Table13456789101112132345678910111213[[#This Row],[LOADED LITRES]]-Table13456789101112132345678910111213[[#This Row],[Offloading Litres]]</f>
        <v>-80</v>
      </c>
    </row>
    <row r="12" spans="1:17" x14ac:dyDescent="0.3">
      <c r="A12" s="50">
        <v>45994</v>
      </c>
      <c r="B12" s="50" t="s">
        <v>3444</v>
      </c>
      <c r="C12" t="s">
        <v>23</v>
      </c>
      <c r="E12" t="s">
        <v>3356</v>
      </c>
      <c r="G12" s="58">
        <v>433068367</v>
      </c>
      <c r="H12" t="s">
        <v>32</v>
      </c>
      <c r="I12">
        <v>38777</v>
      </c>
      <c r="J12"/>
      <c r="K12"/>
      <c r="L12" t="s">
        <v>40</v>
      </c>
      <c r="M12" s="50">
        <v>45995</v>
      </c>
      <c r="N12">
        <v>38797</v>
      </c>
      <c r="O12" s="9" t="s">
        <v>3369</v>
      </c>
      <c r="P12" s="9"/>
      <c r="Q12">
        <f>Table13456789101112132345678910111213[[#This Row],[LOADED LITRES]]-Table13456789101112132345678910111213[[#This Row],[Offloading Litres]]</f>
        <v>-20</v>
      </c>
    </row>
    <row r="13" spans="1:17" x14ac:dyDescent="0.3">
      <c r="A13" s="50">
        <v>45994</v>
      </c>
      <c r="B13" s="50" t="s">
        <v>3444</v>
      </c>
      <c r="C13" t="s">
        <v>17</v>
      </c>
      <c r="E13" t="s">
        <v>3354</v>
      </c>
      <c r="G13" s="58">
        <v>433068160</v>
      </c>
      <c r="H13" t="s">
        <v>32</v>
      </c>
      <c r="I13">
        <v>38715</v>
      </c>
      <c r="J13"/>
      <c r="K13"/>
      <c r="L13" t="s">
        <v>40</v>
      </c>
      <c r="M13" s="50">
        <v>45995</v>
      </c>
      <c r="N13">
        <v>38831</v>
      </c>
      <c r="O13" s="9" t="s">
        <v>3375</v>
      </c>
      <c r="P13" s="9"/>
      <c r="Q13">
        <f>Table13456789101112132345678910111213[[#This Row],[LOADED LITRES]]-Table13456789101112132345678910111213[[#This Row],[Offloading Litres]]</f>
        <v>-116</v>
      </c>
    </row>
    <row r="14" spans="1:17" x14ac:dyDescent="0.3">
      <c r="A14" s="50">
        <v>45994</v>
      </c>
      <c r="B14" s="50" t="s">
        <v>3444</v>
      </c>
      <c r="C14" t="s">
        <v>30</v>
      </c>
      <c r="E14" t="s">
        <v>3357</v>
      </c>
      <c r="G14" s="58">
        <v>433068395</v>
      </c>
      <c r="H14" t="s">
        <v>32</v>
      </c>
      <c r="I14">
        <v>38730</v>
      </c>
      <c r="J14"/>
      <c r="K14"/>
      <c r="L14" t="s">
        <v>40</v>
      </c>
      <c r="M14" s="50">
        <v>45995</v>
      </c>
      <c r="N14">
        <v>38802</v>
      </c>
      <c r="O14" s="9" t="s">
        <v>3364</v>
      </c>
      <c r="P14" s="9"/>
      <c r="Q14">
        <f>Table13456789101112132345678910111213[[#This Row],[LOADED LITRES]]-Table13456789101112132345678910111213[[#This Row],[Offloading Litres]]</f>
        <v>-72</v>
      </c>
    </row>
    <row r="15" spans="1:17" x14ac:dyDescent="0.3">
      <c r="A15" s="50">
        <v>45995</v>
      </c>
      <c r="B15" s="50" t="s">
        <v>3444</v>
      </c>
      <c r="C15" t="s">
        <v>1794</v>
      </c>
      <c r="E15" t="s">
        <v>2896</v>
      </c>
      <c r="G15" s="58">
        <v>433331781</v>
      </c>
      <c r="H15" t="s">
        <v>25</v>
      </c>
      <c r="I15">
        <v>44537</v>
      </c>
      <c r="J15"/>
      <c r="K15"/>
      <c r="L15" t="s">
        <v>40</v>
      </c>
      <c r="M15" s="50">
        <v>45996</v>
      </c>
      <c r="N15">
        <v>44830</v>
      </c>
      <c r="O15" s="9" t="s">
        <v>3374</v>
      </c>
      <c r="P15" s="9"/>
      <c r="Q15">
        <f>Table13456789101112132345678910111213[[#This Row],[LOADED LITRES]]-Table13456789101112132345678910111213[[#This Row],[Offloading Litres]]</f>
        <v>-293</v>
      </c>
    </row>
    <row r="16" spans="1:17" x14ac:dyDescent="0.3">
      <c r="A16" s="50">
        <v>45996</v>
      </c>
      <c r="B16" s="50" t="s">
        <v>3444</v>
      </c>
      <c r="C16" t="s">
        <v>22</v>
      </c>
      <c r="E16" t="s">
        <v>3348</v>
      </c>
      <c r="G16" s="58">
        <v>433331769</v>
      </c>
      <c r="H16" t="s">
        <v>25</v>
      </c>
      <c r="I16">
        <v>44029</v>
      </c>
      <c r="J16"/>
      <c r="K16"/>
      <c r="L16" t="s">
        <v>40</v>
      </c>
      <c r="M16" s="50">
        <v>45996</v>
      </c>
      <c r="N16">
        <v>44325</v>
      </c>
      <c r="O16" s="9" t="s">
        <v>3371</v>
      </c>
      <c r="P16" s="9"/>
      <c r="Q16">
        <f>Table13456789101112132345678910111213[[#This Row],[LOADED LITRES]]-Table13456789101112132345678910111213[[#This Row],[Offloading Litres]]</f>
        <v>-296</v>
      </c>
    </row>
    <row r="17" spans="1:17" x14ac:dyDescent="0.3">
      <c r="A17" s="50">
        <v>45996</v>
      </c>
      <c r="B17" s="50" t="s">
        <v>3444</v>
      </c>
      <c r="C17" t="s">
        <v>23</v>
      </c>
      <c r="E17" t="s">
        <v>3352</v>
      </c>
      <c r="G17" s="59">
        <v>433068397</v>
      </c>
      <c r="H17" t="s">
        <v>32</v>
      </c>
      <c r="I17">
        <v>38612</v>
      </c>
      <c r="J17"/>
      <c r="K17"/>
      <c r="L17" t="s">
        <v>40</v>
      </c>
      <c r="M17" s="50">
        <v>45998</v>
      </c>
      <c r="N17">
        <v>38826</v>
      </c>
      <c r="O17" s="9" t="s">
        <v>3367</v>
      </c>
      <c r="P17" s="9"/>
      <c r="Q17">
        <f>Table13456789101112132345678910111213[[#This Row],[LOADED LITRES]]-Table13456789101112132345678910111213[[#This Row],[Offloading Litres]]</f>
        <v>-214</v>
      </c>
    </row>
    <row r="18" spans="1:17" x14ac:dyDescent="0.3">
      <c r="A18" s="50">
        <v>45996</v>
      </c>
      <c r="B18" s="50" t="s">
        <v>3444</v>
      </c>
      <c r="C18" t="s">
        <v>21</v>
      </c>
      <c r="E18" t="s">
        <v>3351</v>
      </c>
      <c r="G18" s="55">
        <v>433068398</v>
      </c>
      <c r="H18" t="s">
        <v>32</v>
      </c>
      <c r="I18">
        <v>39133</v>
      </c>
      <c r="J18"/>
      <c r="K18"/>
      <c r="L18" t="s">
        <v>40</v>
      </c>
      <c r="M18" s="50">
        <v>45998</v>
      </c>
      <c r="N18">
        <v>39352</v>
      </c>
      <c r="O18" s="9" t="s">
        <v>3366</v>
      </c>
      <c r="P18" s="9"/>
      <c r="Q18">
        <f>Table13456789101112132345678910111213[[#This Row],[LOADED LITRES]]-Table13456789101112132345678910111213[[#This Row],[Offloading Litres]]</f>
        <v>-219</v>
      </c>
    </row>
    <row r="19" spans="1:17" x14ac:dyDescent="0.3">
      <c r="A19" s="50">
        <v>45996</v>
      </c>
      <c r="B19" s="50" t="s">
        <v>3444</v>
      </c>
      <c r="C19" t="s">
        <v>29</v>
      </c>
      <c r="E19" t="s">
        <v>3357</v>
      </c>
      <c r="G19" s="55">
        <v>433068399</v>
      </c>
      <c r="H19" t="s">
        <v>32</v>
      </c>
      <c r="I19">
        <v>39501</v>
      </c>
      <c r="J19"/>
      <c r="K19"/>
      <c r="L19" t="s">
        <v>40</v>
      </c>
      <c r="M19" s="50">
        <v>45998</v>
      </c>
      <c r="N19">
        <v>39599</v>
      </c>
      <c r="O19" s="9" t="s">
        <v>3365</v>
      </c>
      <c r="P19" s="9"/>
      <c r="Q19">
        <f>Table13456789101112132345678910111213[[#This Row],[LOADED LITRES]]-Table13456789101112132345678910111213[[#This Row],[Offloading Litres]]</f>
        <v>-98</v>
      </c>
    </row>
    <row r="20" spans="1:17" x14ac:dyDescent="0.3">
      <c r="A20" s="50">
        <v>45996</v>
      </c>
      <c r="B20" s="50" t="s">
        <v>3444</v>
      </c>
      <c r="C20" t="s">
        <v>28</v>
      </c>
      <c r="E20" t="s">
        <v>3355</v>
      </c>
      <c r="G20" s="55">
        <v>433110712</v>
      </c>
      <c r="H20" t="s">
        <v>32</v>
      </c>
      <c r="I20">
        <v>39411</v>
      </c>
      <c r="J20"/>
      <c r="K20"/>
      <c r="L20" t="s">
        <v>16</v>
      </c>
      <c r="M20" s="50">
        <v>45999</v>
      </c>
      <c r="N20">
        <v>39549</v>
      </c>
      <c r="O20" s="9" t="s">
        <v>3397</v>
      </c>
      <c r="P20" s="9"/>
      <c r="Q20">
        <f>Table13456789101112132345678910111213[[#This Row],[LOADED LITRES]]-Table13456789101112132345678910111213[[#This Row],[Offloading Litres]]</f>
        <v>-138</v>
      </c>
    </row>
    <row r="21" spans="1:17" x14ac:dyDescent="0.3">
      <c r="A21" s="50">
        <v>45997</v>
      </c>
      <c r="B21" s="50" t="s">
        <v>3444</v>
      </c>
      <c r="C21" t="s">
        <v>1794</v>
      </c>
      <c r="E21" t="s">
        <v>2896</v>
      </c>
      <c r="G21" s="55">
        <v>433068400</v>
      </c>
      <c r="H21" t="s">
        <v>32</v>
      </c>
      <c r="I21">
        <v>39729</v>
      </c>
      <c r="J21"/>
      <c r="K21"/>
      <c r="L21" t="s">
        <v>40</v>
      </c>
      <c r="M21" s="50">
        <v>45999</v>
      </c>
      <c r="N21">
        <v>39756</v>
      </c>
      <c r="O21" s="9" t="s">
        <v>3409</v>
      </c>
      <c r="P21" s="9"/>
      <c r="Q21">
        <f>Table13456789101112132345678910111213[[#This Row],[LOADED LITRES]]-Table13456789101112132345678910111213[[#This Row],[Offloading Litres]]</f>
        <v>-27</v>
      </c>
    </row>
    <row r="22" spans="1:17" x14ac:dyDescent="0.3">
      <c r="A22" s="50">
        <v>45997</v>
      </c>
      <c r="B22" s="50" t="s">
        <v>3444</v>
      </c>
      <c r="C22" t="s">
        <v>22</v>
      </c>
      <c r="E22" t="s">
        <v>3348</v>
      </c>
      <c r="G22" s="55">
        <v>433068401</v>
      </c>
      <c r="H22" t="s">
        <v>32</v>
      </c>
      <c r="I22">
        <v>39732</v>
      </c>
      <c r="J22"/>
      <c r="K22"/>
      <c r="L22" t="s">
        <v>40</v>
      </c>
      <c r="M22" s="50">
        <v>45997</v>
      </c>
      <c r="N22">
        <v>39898</v>
      </c>
      <c r="O22" s="9" t="s">
        <v>3411</v>
      </c>
      <c r="P22" s="9"/>
      <c r="Q22">
        <f>Table13456789101112132345678910111213[[#This Row],[LOADED LITRES]]-Table13456789101112132345678910111213[[#This Row],[Offloading Litres]]</f>
        <v>-166</v>
      </c>
    </row>
    <row r="23" spans="1:17" x14ac:dyDescent="0.3">
      <c r="A23" s="50">
        <v>45997</v>
      </c>
      <c r="B23" s="50" t="s">
        <v>3444</v>
      </c>
      <c r="C23" t="s">
        <v>34</v>
      </c>
      <c r="E23" t="s">
        <v>3349</v>
      </c>
      <c r="G23" s="55">
        <v>433068415</v>
      </c>
      <c r="H23" t="s">
        <v>32</v>
      </c>
      <c r="I23">
        <v>38736</v>
      </c>
      <c r="J23"/>
      <c r="K23"/>
      <c r="L23" t="s">
        <v>40</v>
      </c>
      <c r="M23" s="50">
        <v>45999</v>
      </c>
      <c r="N23">
        <v>38824</v>
      </c>
      <c r="O23" s="9" t="s">
        <v>3363</v>
      </c>
      <c r="P23" s="9"/>
      <c r="Q23">
        <f>Table13456789101112132345678910111213[[#This Row],[LOADED LITRES]]-Table13456789101112132345678910111213[[#This Row],[Offloading Litres]]</f>
        <v>-88</v>
      </c>
    </row>
    <row r="24" spans="1:17" x14ac:dyDescent="0.3">
      <c r="A24" s="50">
        <v>45997</v>
      </c>
      <c r="B24" s="50" t="s">
        <v>3444</v>
      </c>
      <c r="C24" t="s">
        <v>17</v>
      </c>
      <c r="E24" t="s">
        <v>3354</v>
      </c>
      <c r="G24" s="55">
        <v>433110729</v>
      </c>
      <c r="H24" t="s">
        <v>32</v>
      </c>
      <c r="I24">
        <v>38713</v>
      </c>
      <c r="J24"/>
      <c r="K24"/>
      <c r="L24" t="s">
        <v>16</v>
      </c>
      <c r="M24" s="50">
        <v>45999</v>
      </c>
      <c r="N24">
        <v>38933</v>
      </c>
      <c r="O24" s="9" t="s">
        <v>3410</v>
      </c>
      <c r="P24" s="9"/>
      <c r="Q24">
        <f>Table13456789101112132345678910111213[[#This Row],[LOADED LITRES]]-Table13456789101112132345678910111213[[#This Row],[Offloading Litres]]</f>
        <v>-220</v>
      </c>
    </row>
    <row r="25" spans="1:17" x14ac:dyDescent="0.3">
      <c r="A25" s="50">
        <v>45998</v>
      </c>
      <c r="B25" s="50" t="s">
        <v>3444</v>
      </c>
      <c r="C25" t="s">
        <v>2664</v>
      </c>
      <c r="E25" t="s">
        <v>3442</v>
      </c>
      <c r="G25" s="55">
        <v>433370203</v>
      </c>
      <c r="H25" t="s">
        <v>32</v>
      </c>
      <c r="I25">
        <v>39257</v>
      </c>
      <c r="J25"/>
      <c r="K25"/>
      <c r="L25" t="s">
        <v>2224</v>
      </c>
      <c r="M25" s="50"/>
      <c r="O25" s="9"/>
      <c r="P25" s="9"/>
      <c r="Q25">
        <f>Table13456789101112132345678910111213[[#This Row],[LOADED LITRES]]-Table13456789101112132345678910111213[[#This Row],[Offloading Litres]]</f>
        <v>39257</v>
      </c>
    </row>
    <row r="26" spans="1:17" x14ac:dyDescent="0.3">
      <c r="A26" s="50">
        <v>45999</v>
      </c>
      <c r="B26" s="50" t="s">
        <v>3444</v>
      </c>
      <c r="C26" t="s">
        <v>30</v>
      </c>
      <c r="E26" t="s">
        <v>3350</v>
      </c>
      <c r="G26" s="55">
        <v>433068416</v>
      </c>
      <c r="H26" t="s">
        <v>32</v>
      </c>
      <c r="I26">
        <v>38624</v>
      </c>
      <c r="J26"/>
      <c r="K26"/>
      <c r="L26" t="s">
        <v>40</v>
      </c>
      <c r="M26" s="50">
        <v>46001</v>
      </c>
      <c r="N26">
        <v>38785</v>
      </c>
      <c r="O26" s="9" t="s">
        <v>3404</v>
      </c>
      <c r="P26" s="9"/>
      <c r="Q26">
        <f>Table13456789101112132345678910111213[[#This Row],[LOADED LITRES]]-Table13456789101112132345678910111213[[#This Row],[Offloading Litres]]</f>
        <v>-161</v>
      </c>
    </row>
    <row r="27" spans="1:17" x14ac:dyDescent="0.3">
      <c r="A27" s="50">
        <v>45999</v>
      </c>
      <c r="B27" s="50" t="s">
        <v>3444</v>
      </c>
      <c r="C27" t="s">
        <v>21</v>
      </c>
      <c r="E27" t="s">
        <v>3351</v>
      </c>
      <c r="G27" s="60">
        <v>433350695</v>
      </c>
      <c r="H27" t="s">
        <v>32</v>
      </c>
      <c r="I27">
        <v>39160</v>
      </c>
      <c r="J27"/>
      <c r="K27"/>
      <c r="L27" t="s">
        <v>40</v>
      </c>
      <c r="M27" s="50">
        <v>46001</v>
      </c>
      <c r="N27">
        <v>39385</v>
      </c>
      <c r="O27" s="9" t="s">
        <v>3403</v>
      </c>
      <c r="P27" s="9"/>
      <c r="Q27">
        <f>Table13456789101112132345678910111213[[#This Row],[LOADED LITRES]]-Table13456789101112132345678910111213[[#This Row],[Offloading Litres]]</f>
        <v>-225</v>
      </c>
    </row>
    <row r="28" spans="1:17" x14ac:dyDescent="0.3">
      <c r="A28" s="50">
        <v>45999</v>
      </c>
      <c r="B28" s="50" t="s">
        <v>3444</v>
      </c>
      <c r="C28" t="s">
        <v>23</v>
      </c>
      <c r="E28" t="s">
        <v>3352</v>
      </c>
      <c r="G28" s="60">
        <v>433111715</v>
      </c>
      <c r="H28" t="s">
        <v>25</v>
      </c>
      <c r="I28">
        <v>43960</v>
      </c>
      <c r="J28"/>
      <c r="K28"/>
      <c r="L28" t="s">
        <v>16</v>
      </c>
      <c r="M28" s="50">
        <v>46000</v>
      </c>
      <c r="N28">
        <v>44277</v>
      </c>
      <c r="O28" s="9" t="s">
        <v>3402</v>
      </c>
      <c r="P28" s="9"/>
      <c r="Q28">
        <f>Table13456789101112132345678910111213[[#This Row],[LOADED LITRES]]-Table13456789101112132345678910111213[[#This Row],[Offloading Litres]]</f>
        <v>-317</v>
      </c>
    </row>
    <row r="29" spans="1:17" x14ac:dyDescent="0.3">
      <c r="A29" s="50">
        <v>45999</v>
      </c>
      <c r="B29" s="50" t="s">
        <v>3444</v>
      </c>
      <c r="C29" t="s">
        <v>29</v>
      </c>
      <c r="E29" t="s">
        <v>3357</v>
      </c>
      <c r="G29" s="55">
        <v>433111716</v>
      </c>
      <c r="H29" t="s">
        <v>25</v>
      </c>
      <c r="I29">
        <v>44038</v>
      </c>
      <c r="J29"/>
      <c r="K29"/>
      <c r="L29" t="s">
        <v>16</v>
      </c>
      <c r="M29" s="50">
        <v>46000</v>
      </c>
      <c r="N29">
        <v>44431</v>
      </c>
      <c r="O29" s="9" t="s">
        <v>3412</v>
      </c>
      <c r="P29" s="9"/>
      <c r="Q29">
        <f>Table13456789101112132345678910111213[[#This Row],[LOADED LITRES]]-Table13456789101112132345678910111213[[#This Row],[Offloading Litres]]</f>
        <v>-393</v>
      </c>
    </row>
    <row r="30" spans="1:17" x14ac:dyDescent="0.3">
      <c r="A30" s="50">
        <v>46000</v>
      </c>
      <c r="B30" s="50" t="s">
        <v>3444</v>
      </c>
      <c r="C30" t="s">
        <v>34</v>
      </c>
      <c r="E30" t="s">
        <v>3349</v>
      </c>
      <c r="G30" s="55">
        <v>433409194</v>
      </c>
      <c r="H30" t="s">
        <v>25</v>
      </c>
      <c r="I30">
        <v>43799</v>
      </c>
      <c r="J30"/>
      <c r="K30"/>
      <c r="L30" t="s">
        <v>16</v>
      </c>
      <c r="M30" s="50">
        <v>46001</v>
      </c>
      <c r="N30">
        <v>44053</v>
      </c>
      <c r="O30" s="9" t="s">
        <v>3400</v>
      </c>
      <c r="P30" s="9"/>
      <c r="Q30">
        <f>Table13456789101112132345678910111213[[#This Row],[LOADED LITRES]]-Table13456789101112132345678910111213[[#This Row],[Offloading Litres]]</f>
        <v>-254</v>
      </c>
    </row>
    <row r="31" spans="1:17" x14ac:dyDescent="0.3">
      <c r="A31" s="50">
        <v>46000</v>
      </c>
      <c r="B31" s="50" t="s">
        <v>3444</v>
      </c>
      <c r="C31" t="s">
        <v>1794</v>
      </c>
      <c r="E31" t="s">
        <v>2896</v>
      </c>
      <c r="G31" s="55">
        <v>433409200</v>
      </c>
      <c r="H31" t="s">
        <v>32</v>
      </c>
      <c r="I31">
        <v>39608</v>
      </c>
      <c r="J31"/>
      <c r="K31"/>
      <c r="L31" t="s">
        <v>16</v>
      </c>
      <c r="M31" s="50">
        <v>46001</v>
      </c>
      <c r="N31">
        <v>39773</v>
      </c>
      <c r="O31" s="9" t="s">
        <v>3401</v>
      </c>
      <c r="P31" s="9"/>
      <c r="Q31">
        <f>Table13456789101112132345678910111213[[#This Row],[LOADED LITRES]]-Table13456789101112132345678910111213[[#This Row],[Offloading Litres]]</f>
        <v>-165</v>
      </c>
    </row>
    <row r="32" spans="1:17" x14ac:dyDescent="0.3">
      <c r="A32" s="50">
        <v>46000</v>
      </c>
      <c r="B32" s="50" t="s">
        <v>3444</v>
      </c>
      <c r="C32" t="s">
        <v>17</v>
      </c>
      <c r="E32" t="s">
        <v>3354</v>
      </c>
      <c r="G32" s="55">
        <v>433409195</v>
      </c>
      <c r="H32" t="s">
        <v>32</v>
      </c>
      <c r="I32">
        <v>43867</v>
      </c>
      <c r="J32"/>
      <c r="K32"/>
      <c r="L32" t="s">
        <v>16</v>
      </c>
      <c r="M32" s="50">
        <v>46002</v>
      </c>
      <c r="N32">
        <v>44219</v>
      </c>
      <c r="O32" s="9" t="s">
        <v>3405</v>
      </c>
      <c r="P32" s="9"/>
      <c r="Q32">
        <f>Table13456789101112132345678910111213[[#This Row],[LOADED LITRES]]-Table13456789101112132345678910111213[[#This Row],[Offloading Litres]]</f>
        <v>-352</v>
      </c>
    </row>
    <row r="33" spans="1:17" x14ac:dyDescent="0.3">
      <c r="A33" s="50">
        <v>46001</v>
      </c>
      <c r="B33" s="50" t="s">
        <v>3444</v>
      </c>
      <c r="C33" t="s">
        <v>22</v>
      </c>
      <c r="E33" t="s">
        <v>3348</v>
      </c>
      <c r="G33" s="55">
        <v>433502383</v>
      </c>
      <c r="H33" t="s">
        <v>32</v>
      </c>
      <c r="I33">
        <v>39746</v>
      </c>
      <c r="J33"/>
      <c r="K33"/>
      <c r="L33" t="s">
        <v>2224</v>
      </c>
      <c r="M33" s="50"/>
      <c r="N33">
        <v>39738</v>
      </c>
      <c r="O33" s="9" t="s">
        <v>3406</v>
      </c>
      <c r="P33" s="9"/>
      <c r="Q33">
        <f>Table13456789101112132345678910111213[[#This Row],[LOADED LITRES]]-Table13456789101112132345678910111213[[#This Row],[Offloading Litres]]</f>
        <v>8</v>
      </c>
    </row>
    <row r="34" spans="1:17" x14ac:dyDescent="0.3">
      <c r="A34" s="50">
        <v>46001</v>
      </c>
      <c r="B34" s="50" t="s">
        <v>3444</v>
      </c>
      <c r="C34" t="s">
        <v>28</v>
      </c>
      <c r="E34" t="s">
        <v>3355</v>
      </c>
      <c r="G34" s="55">
        <v>433384654</v>
      </c>
      <c r="H34" t="s">
        <v>958</v>
      </c>
      <c r="I34">
        <v>39636</v>
      </c>
      <c r="J34"/>
      <c r="K34"/>
      <c r="L34" t="s">
        <v>3407</v>
      </c>
      <c r="M34" s="50">
        <v>46003</v>
      </c>
      <c r="N34">
        <v>39662</v>
      </c>
      <c r="O34" s="9" t="s">
        <v>3408</v>
      </c>
      <c r="P34" s="9"/>
      <c r="Q34">
        <f>Table13456789101112132345678910111213[[#This Row],[LOADED LITRES]]-Table13456789101112132345678910111213[[#This Row],[Offloading Litres]]</f>
        <v>-26</v>
      </c>
    </row>
    <row r="35" spans="1:17" x14ac:dyDescent="0.3">
      <c r="A35" s="50">
        <v>46002</v>
      </c>
      <c r="B35" s="50" t="s">
        <v>3444</v>
      </c>
      <c r="C35" t="s">
        <v>23</v>
      </c>
      <c r="E35" t="s">
        <v>3352</v>
      </c>
      <c r="G35" s="59">
        <v>433350696</v>
      </c>
      <c r="H35" t="s">
        <v>32</v>
      </c>
      <c r="I35">
        <v>38724</v>
      </c>
      <c r="J35"/>
      <c r="K35"/>
      <c r="L35" t="s">
        <v>40</v>
      </c>
      <c r="M35" s="50">
        <v>46003</v>
      </c>
      <c r="N35">
        <v>38967</v>
      </c>
      <c r="O35" s="9" t="s">
        <v>3399</v>
      </c>
      <c r="P35" s="9"/>
      <c r="Q35">
        <f>Table13456789101112132345678910111213[[#This Row],[LOADED LITRES]]-Table13456789101112132345678910111213[[#This Row],[Offloading Litres]]</f>
        <v>-243</v>
      </c>
    </row>
    <row r="36" spans="1:17" x14ac:dyDescent="0.3">
      <c r="A36" s="50">
        <v>46002</v>
      </c>
      <c r="B36" s="50" t="s">
        <v>3444</v>
      </c>
      <c r="C36" t="s">
        <v>34</v>
      </c>
      <c r="E36" t="s">
        <v>3349</v>
      </c>
      <c r="G36" s="60">
        <v>433350697</v>
      </c>
      <c r="H36" t="s">
        <v>32</v>
      </c>
      <c r="I36">
        <v>38692</v>
      </c>
      <c r="J36"/>
      <c r="K36"/>
      <c r="L36" t="s">
        <v>40</v>
      </c>
      <c r="M36" s="50">
        <v>46003</v>
      </c>
      <c r="N36">
        <v>38968</v>
      </c>
      <c r="O36" s="9" t="s">
        <v>3398</v>
      </c>
      <c r="P36" s="9"/>
      <c r="Q36">
        <f>Table13456789101112132345678910111213[[#This Row],[LOADED LITRES]]-Table13456789101112132345678910111213[[#This Row],[Offloading Litres]]</f>
        <v>-276</v>
      </c>
    </row>
    <row r="37" spans="1:17" x14ac:dyDescent="0.3">
      <c r="A37" s="50">
        <v>46002</v>
      </c>
      <c r="B37" s="50" t="s">
        <v>3444</v>
      </c>
      <c r="C37" t="s">
        <v>1794</v>
      </c>
      <c r="E37" t="s">
        <v>3353</v>
      </c>
      <c r="G37" s="60">
        <v>433350698</v>
      </c>
      <c r="H37" t="s">
        <v>32</v>
      </c>
      <c r="I37">
        <v>39650</v>
      </c>
      <c r="J37"/>
      <c r="K37"/>
      <c r="L37" t="s">
        <v>40</v>
      </c>
      <c r="M37" s="50">
        <v>46004</v>
      </c>
      <c r="N37">
        <v>39831</v>
      </c>
      <c r="O37" s="9" t="s">
        <v>3396</v>
      </c>
      <c r="P37" s="9"/>
      <c r="Q37">
        <f>Table13456789101112132345678910111213[[#This Row],[LOADED LITRES]]-Table13456789101112132345678910111213[[#This Row],[Offloading Litres]]</f>
        <v>-181</v>
      </c>
    </row>
    <row r="38" spans="1:17" x14ac:dyDescent="0.3">
      <c r="A38" s="50">
        <v>46002</v>
      </c>
      <c r="B38" s="50" t="s">
        <v>3444</v>
      </c>
      <c r="C38" t="s">
        <v>30</v>
      </c>
      <c r="E38" t="s">
        <v>3350</v>
      </c>
      <c r="G38" s="55">
        <v>433350699</v>
      </c>
      <c r="H38" t="s">
        <v>32</v>
      </c>
      <c r="I38">
        <v>38722</v>
      </c>
      <c r="J38"/>
      <c r="K38"/>
      <c r="L38" t="s">
        <v>40</v>
      </c>
      <c r="M38" s="50">
        <v>46004</v>
      </c>
      <c r="N38">
        <v>38961</v>
      </c>
      <c r="O38" s="9" t="s">
        <v>3390</v>
      </c>
      <c r="P38" s="9"/>
      <c r="Q38">
        <f>Table13456789101112132345678910111213[[#This Row],[LOADED LITRES]]-Table13456789101112132345678910111213[[#This Row],[Offloading Litres]]</f>
        <v>-239</v>
      </c>
    </row>
    <row r="39" spans="1:17" x14ac:dyDescent="0.3">
      <c r="A39" s="50">
        <v>46002</v>
      </c>
      <c r="B39" s="50" t="s">
        <v>3444</v>
      </c>
      <c r="C39" t="s">
        <v>21</v>
      </c>
      <c r="E39" t="s">
        <v>3359</v>
      </c>
      <c r="G39" s="60">
        <v>433409201</v>
      </c>
      <c r="H39" t="s">
        <v>32</v>
      </c>
      <c r="I39">
        <v>39234</v>
      </c>
      <c r="J39"/>
      <c r="K39"/>
      <c r="L39" t="s">
        <v>16</v>
      </c>
      <c r="M39" s="50">
        <v>46006</v>
      </c>
      <c r="N39">
        <v>39383</v>
      </c>
      <c r="O39" s="9" t="s">
        <v>3386</v>
      </c>
      <c r="P39" s="9"/>
      <c r="Q39">
        <f>Table13456789101112132345678910111213[[#This Row],[LOADED LITRES]]-Table13456789101112132345678910111213[[#This Row],[Offloading Litres]]</f>
        <v>-149</v>
      </c>
    </row>
    <row r="40" spans="1:17" x14ac:dyDescent="0.3">
      <c r="A40" s="50">
        <v>46003</v>
      </c>
      <c r="B40" s="50" t="s">
        <v>3444</v>
      </c>
      <c r="C40" t="s">
        <v>17</v>
      </c>
      <c r="E40" t="s">
        <v>3354</v>
      </c>
      <c r="G40" s="60">
        <v>433350700</v>
      </c>
      <c r="H40" t="s">
        <v>32</v>
      </c>
      <c r="I40">
        <v>38651</v>
      </c>
      <c r="J40"/>
      <c r="K40"/>
      <c r="L40" t="s">
        <v>40</v>
      </c>
      <c r="M40" s="50">
        <v>46004</v>
      </c>
      <c r="N40">
        <v>38973</v>
      </c>
      <c r="O40" s="9" t="s">
        <v>3395</v>
      </c>
      <c r="P40" s="9"/>
      <c r="Q40">
        <f>Table13456789101112132345678910111213[[#This Row],[LOADED LITRES]]-Table13456789101112132345678910111213[[#This Row],[Offloading Litres]]</f>
        <v>-322</v>
      </c>
    </row>
    <row r="41" spans="1:17" x14ac:dyDescent="0.3">
      <c r="A41" s="50">
        <v>46003</v>
      </c>
      <c r="B41" s="50" t="s">
        <v>3444</v>
      </c>
      <c r="C41" t="s">
        <v>22</v>
      </c>
      <c r="E41" t="s">
        <v>3348</v>
      </c>
      <c r="G41" s="60">
        <v>433350734</v>
      </c>
      <c r="H41" t="s">
        <v>32</v>
      </c>
      <c r="I41">
        <v>39699</v>
      </c>
      <c r="J41"/>
      <c r="K41"/>
      <c r="L41" t="s">
        <v>40</v>
      </c>
      <c r="M41" s="50">
        <v>46005</v>
      </c>
      <c r="N41">
        <v>39733</v>
      </c>
      <c r="O41" s="9" t="s">
        <v>3394</v>
      </c>
      <c r="P41" s="9"/>
      <c r="Q41">
        <f>Table13456789101112132345678910111213[[#This Row],[LOADED LITRES]]-Table13456789101112132345678910111213[[#This Row],[Offloading Litres]]</f>
        <v>-34</v>
      </c>
    </row>
    <row r="42" spans="1:17" x14ac:dyDescent="0.3">
      <c r="A42" s="50">
        <v>46003</v>
      </c>
      <c r="B42" s="50" t="s">
        <v>3444</v>
      </c>
      <c r="C42" t="s">
        <v>28</v>
      </c>
      <c r="E42" t="s">
        <v>3355</v>
      </c>
      <c r="G42" s="60">
        <v>433355979</v>
      </c>
      <c r="H42" t="s">
        <v>32</v>
      </c>
      <c r="I42">
        <v>39488</v>
      </c>
      <c r="J42"/>
      <c r="K42"/>
      <c r="L42" t="s">
        <v>40</v>
      </c>
      <c r="M42" s="50">
        <v>46005</v>
      </c>
      <c r="N42">
        <v>39494</v>
      </c>
      <c r="O42" s="9" t="s">
        <v>3393</v>
      </c>
      <c r="P42" s="9"/>
      <c r="Q42">
        <f>Table13456789101112132345678910111213[[#This Row],[LOADED LITRES]]-Table13456789101112132345678910111213[[#This Row],[Offloading Litres]]</f>
        <v>-6</v>
      </c>
    </row>
    <row r="43" spans="1:17" x14ac:dyDescent="0.3">
      <c r="A43" s="50">
        <v>46004</v>
      </c>
      <c r="B43" s="50" t="s">
        <v>3444</v>
      </c>
      <c r="C43" t="s">
        <v>34</v>
      </c>
      <c r="E43" t="s">
        <v>3349</v>
      </c>
      <c r="G43" s="60">
        <v>433355980</v>
      </c>
      <c r="H43" t="s">
        <v>32</v>
      </c>
      <c r="I43">
        <v>38835</v>
      </c>
      <c r="J43"/>
      <c r="K43"/>
      <c r="L43" t="s">
        <v>40</v>
      </c>
      <c r="M43" s="50">
        <v>46005</v>
      </c>
      <c r="N43">
        <v>38892</v>
      </c>
      <c r="O43" s="9" t="s">
        <v>3392</v>
      </c>
      <c r="P43" s="9"/>
      <c r="Q43">
        <f>Table13456789101112132345678910111213[[#This Row],[LOADED LITRES]]-Table13456789101112132345678910111213[[#This Row],[Offloading Litres]]</f>
        <v>-57</v>
      </c>
    </row>
    <row r="44" spans="1:17" x14ac:dyDescent="0.3">
      <c r="A44" s="50">
        <v>46005</v>
      </c>
      <c r="B44" s="50" t="s">
        <v>3444</v>
      </c>
      <c r="C44" t="s">
        <v>23</v>
      </c>
      <c r="E44" t="s">
        <v>3356</v>
      </c>
      <c r="G44" s="60">
        <v>433656115</v>
      </c>
      <c r="H44" t="s">
        <v>25</v>
      </c>
      <c r="I44">
        <v>43890</v>
      </c>
      <c r="J44"/>
      <c r="K44"/>
      <c r="L44" t="s">
        <v>3362</v>
      </c>
      <c r="M44" s="50">
        <v>46006</v>
      </c>
      <c r="N44">
        <v>43941</v>
      </c>
      <c r="O44" s="9" t="s">
        <v>3391</v>
      </c>
      <c r="P44" s="9"/>
      <c r="Q44">
        <f>Table13456789101112132345678910111213[[#This Row],[LOADED LITRES]]-Table13456789101112132345678910111213[[#This Row],[Offloading Litres]]</f>
        <v>-51</v>
      </c>
    </row>
    <row r="45" spans="1:17" x14ac:dyDescent="0.3">
      <c r="A45" s="50">
        <v>46005</v>
      </c>
      <c r="B45" s="50" t="s">
        <v>3444</v>
      </c>
      <c r="C45" t="s">
        <v>1794</v>
      </c>
      <c r="E45" t="s">
        <v>3353</v>
      </c>
      <c r="G45" s="60">
        <v>433355981</v>
      </c>
      <c r="H45" t="s">
        <v>32</v>
      </c>
      <c r="I45">
        <v>39667</v>
      </c>
      <c r="J45"/>
      <c r="K45"/>
      <c r="L45" t="s">
        <v>40</v>
      </c>
      <c r="M45" s="50">
        <v>46007</v>
      </c>
      <c r="N45">
        <v>39864</v>
      </c>
      <c r="O45" s="9" t="s">
        <v>3383</v>
      </c>
      <c r="P45" s="9"/>
      <c r="Q45">
        <f>Table13456789101112132345678910111213[[#This Row],[LOADED LITRES]]-Table13456789101112132345678910111213[[#This Row],[Offloading Litres]]</f>
        <v>-197</v>
      </c>
    </row>
    <row r="46" spans="1:17" x14ac:dyDescent="0.3">
      <c r="A46" s="50">
        <v>46005</v>
      </c>
      <c r="B46" s="50" t="s">
        <v>3444</v>
      </c>
      <c r="C46" t="s">
        <v>17</v>
      </c>
      <c r="E46" t="s">
        <v>3354</v>
      </c>
      <c r="G46" s="58">
        <v>433355982</v>
      </c>
      <c r="H46" t="s">
        <v>32</v>
      </c>
      <c r="I46">
        <v>38686</v>
      </c>
      <c r="J46"/>
      <c r="K46"/>
      <c r="L46" t="s">
        <v>40</v>
      </c>
      <c r="M46" s="50">
        <v>46008</v>
      </c>
      <c r="N46">
        <v>38925</v>
      </c>
      <c r="O46" s="9" t="s">
        <v>3380</v>
      </c>
      <c r="P46" s="9"/>
      <c r="Q46">
        <f>Table13456789101112132345678910111213[[#This Row],[LOADED LITRES]]-Table13456789101112132345678910111213[[#This Row],[Offloading Litres]]</f>
        <v>-239</v>
      </c>
    </row>
    <row r="47" spans="1:17" x14ac:dyDescent="0.3">
      <c r="A47" s="50">
        <v>46005</v>
      </c>
      <c r="B47" s="50" t="s">
        <v>3444</v>
      </c>
      <c r="C47" t="s">
        <v>30</v>
      </c>
      <c r="E47" t="s">
        <v>3350</v>
      </c>
      <c r="G47" s="58">
        <v>433587403</v>
      </c>
      <c r="H47" t="s">
        <v>32</v>
      </c>
      <c r="I47">
        <v>38680</v>
      </c>
      <c r="J47"/>
      <c r="K47"/>
      <c r="L47" t="s">
        <v>40</v>
      </c>
      <c r="M47" s="50">
        <v>46007</v>
      </c>
      <c r="N47">
        <v>38918</v>
      </c>
      <c r="O47" s="9" t="s">
        <v>3384</v>
      </c>
      <c r="P47" s="9"/>
      <c r="Q47">
        <f>Table13456789101112132345678910111213[[#This Row],[LOADED LITRES]]-Table13456789101112132345678910111213[[#This Row],[Offloading Litres]]</f>
        <v>-238</v>
      </c>
    </row>
    <row r="48" spans="1:17" x14ac:dyDescent="0.3">
      <c r="A48" s="50">
        <v>46006</v>
      </c>
      <c r="B48" s="50" t="s">
        <v>3444</v>
      </c>
      <c r="C48" t="s">
        <v>28</v>
      </c>
      <c r="E48" t="s">
        <v>3355</v>
      </c>
      <c r="G48" s="56">
        <v>433409196</v>
      </c>
      <c r="H48" t="s">
        <v>25</v>
      </c>
      <c r="I48">
        <v>44012</v>
      </c>
      <c r="J48"/>
      <c r="K48"/>
      <c r="L48" t="s">
        <v>16</v>
      </c>
      <c r="M48" s="50">
        <v>46007</v>
      </c>
      <c r="N48">
        <v>44312</v>
      </c>
      <c r="O48" s="9" t="s">
        <v>3385</v>
      </c>
      <c r="P48" s="9"/>
      <c r="Q48">
        <f>Table13456789101112132345678910111213[[#This Row],[LOADED LITRES]]-Table13456789101112132345678910111213[[#This Row],[Offloading Litres]]</f>
        <v>-300</v>
      </c>
    </row>
    <row r="49" spans="1:17" x14ac:dyDescent="0.3">
      <c r="A49" s="50">
        <v>46006</v>
      </c>
      <c r="B49" s="50" t="s">
        <v>3444</v>
      </c>
      <c r="C49" t="s">
        <v>34</v>
      </c>
      <c r="E49" t="s">
        <v>3349</v>
      </c>
      <c r="G49" s="59">
        <v>433409202</v>
      </c>
      <c r="H49" t="s">
        <v>32</v>
      </c>
      <c r="I49">
        <v>38656</v>
      </c>
      <c r="J49"/>
      <c r="K49"/>
      <c r="L49" t="s">
        <v>16</v>
      </c>
      <c r="M49" s="50">
        <v>46007</v>
      </c>
      <c r="N49">
        <v>38973</v>
      </c>
      <c r="O49" s="9" t="s">
        <v>3387</v>
      </c>
      <c r="P49" s="9"/>
      <c r="Q49">
        <f>Table13456789101112132345678910111213[[#This Row],[LOADED LITRES]]-Table13456789101112132345678910111213[[#This Row],[Offloading Litres]]</f>
        <v>-317</v>
      </c>
    </row>
    <row r="50" spans="1:17" x14ac:dyDescent="0.3">
      <c r="A50" s="50">
        <v>46006</v>
      </c>
      <c r="B50" s="50" t="s">
        <v>3444</v>
      </c>
      <c r="C50" t="s">
        <v>22</v>
      </c>
      <c r="E50" t="s">
        <v>3348</v>
      </c>
      <c r="G50" s="59">
        <v>433656122</v>
      </c>
      <c r="H50" t="s">
        <v>25</v>
      </c>
      <c r="I50">
        <v>43984</v>
      </c>
      <c r="J50"/>
      <c r="K50"/>
      <c r="L50" t="s">
        <v>3362</v>
      </c>
      <c r="M50" s="50">
        <v>46008</v>
      </c>
      <c r="N50">
        <v>44090</v>
      </c>
      <c r="O50" s="9" t="s">
        <v>3381</v>
      </c>
      <c r="P50" s="9"/>
      <c r="Q50">
        <f>Table13456789101112132345678910111213[[#This Row],[LOADED LITRES]]-Table13456789101112132345678910111213[[#This Row],[Offloading Litres]]</f>
        <v>-106</v>
      </c>
    </row>
    <row r="51" spans="1:17" x14ac:dyDescent="0.3">
      <c r="A51" s="50">
        <v>46007</v>
      </c>
      <c r="B51" s="50" t="s">
        <v>3444</v>
      </c>
      <c r="C51" t="s">
        <v>23</v>
      </c>
      <c r="E51" t="s">
        <v>3356</v>
      </c>
      <c r="G51" s="59">
        <v>433656120</v>
      </c>
      <c r="H51" t="s">
        <v>25</v>
      </c>
      <c r="I51">
        <v>43812</v>
      </c>
      <c r="J51"/>
      <c r="K51"/>
      <c r="L51" t="s">
        <v>3362</v>
      </c>
      <c r="M51" s="50">
        <v>46008</v>
      </c>
      <c r="N51">
        <v>43991</v>
      </c>
      <c r="O51" s="9" t="s">
        <v>3382</v>
      </c>
      <c r="P51" s="9"/>
      <c r="Q51">
        <f>Table13456789101112132345678910111213[[#This Row],[LOADED LITRES]]-Table13456789101112132345678910111213[[#This Row],[Offloading Litres]]</f>
        <v>-179</v>
      </c>
    </row>
    <row r="52" spans="1:17" x14ac:dyDescent="0.3">
      <c r="A52" s="50">
        <v>46007</v>
      </c>
      <c r="B52" s="50" t="s">
        <v>3444</v>
      </c>
      <c r="C52" t="s">
        <v>21</v>
      </c>
      <c r="E52" t="s">
        <v>3359</v>
      </c>
      <c r="G52" s="59">
        <v>433656113</v>
      </c>
      <c r="H52" t="s">
        <v>25</v>
      </c>
      <c r="I52">
        <v>44446</v>
      </c>
      <c r="J52"/>
      <c r="K52"/>
      <c r="L52" t="s">
        <v>3362</v>
      </c>
      <c r="M52" s="50">
        <v>46009</v>
      </c>
      <c r="N52">
        <v>44440</v>
      </c>
      <c r="O52" s="9" t="s">
        <v>3379</v>
      </c>
      <c r="P52" s="9"/>
      <c r="Q52">
        <f>Table13456789101112132345678910111213[[#This Row],[LOADED LITRES]]-Table13456789101112132345678910111213[[#This Row],[Offloading Litres]]</f>
        <v>6</v>
      </c>
    </row>
    <row r="53" spans="1:17" x14ac:dyDescent="0.3">
      <c r="A53" s="50">
        <v>46008</v>
      </c>
      <c r="B53" s="50" t="s">
        <v>3444</v>
      </c>
      <c r="C53" t="s">
        <v>23</v>
      </c>
      <c r="E53" t="s">
        <v>3356</v>
      </c>
      <c r="G53" s="59">
        <v>433656206</v>
      </c>
      <c r="H53" t="s">
        <v>32</v>
      </c>
      <c r="I53">
        <v>38800</v>
      </c>
      <c r="J53"/>
      <c r="K53"/>
      <c r="L53" t="s">
        <v>3362</v>
      </c>
      <c r="M53" s="50">
        <v>46010</v>
      </c>
      <c r="N53">
        <v>38837</v>
      </c>
      <c r="O53" s="9" t="s">
        <v>3413</v>
      </c>
      <c r="P53" s="9"/>
      <c r="Q53">
        <f>Table13456789101112132345678910111213[[#This Row],[LOADED LITRES]]-Table13456789101112132345678910111213[[#This Row],[Offloading Litres]]</f>
        <v>-37</v>
      </c>
    </row>
    <row r="54" spans="1:17" x14ac:dyDescent="0.3">
      <c r="A54" s="50">
        <v>46008</v>
      </c>
      <c r="B54" s="50" t="s">
        <v>3444</v>
      </c>
      <c r="C54" t="s">
        <v>1794</v>
      </c>
      <c r="E54" t="s">
        <v>3353</v>
      </c>
      <c r="G54" s="59">
        <v>433409197</v>
      </c>
      <c r="H54" t="s">
        <v>25</v>
      </c>
      <c r="I54">
        <v>44458</v>
      </c>
      <c r="J54"/>
      <c r="K54"/>
      <c r="L54" t="s">
        <v>16</v>
      </c>
      <c r="M54" s="50">
        <v>46010</v>
      </c>
      <c r="N54">
        <v>44753</v>
      </c>
      <c r="O54" s="9" t="s">
        <v>3388</v>
      </c>
      <c r="P54" s="9"/>
      <c r="Q54">
        <f>Table13456789101112132345678910111213[[#This Row],[LOADED LITRES]]-Table13456789101112132345678910111213[[#This Row],[Offloading Litres]]</f>
        <v>-295</v>
      </c>
    </row>
    <row r="55" spans="1:17" x14ac:dyDescent="0.3">
      <c r="A55" s="50">
        <v>46008</v>
      </c>
      <c r="B55" s="50" t="s">
        <v>3444</v>
      </c>
      <c r="C55" t="s">
        <v>34</v>
      </c>
      <c r="E55" t="s">
        <v>3349</v>
      </c>
      <c r="G55" s="59">
        <v>433409203</v>
      </c>
      <c r="H55" t="s">
        <v>32</v>
      </c>
      <c r="I55">
        <v>38756</v>
      </c>
      <c r="J55"/>
      <c r="K55"/>
      <c r="L55" t="s">
        <v>16</v>
      </c>
      <c r="M55" s="50">
        <v>46009</v>
      </c>
      <c r="N55">
        <v>38982</v>
      </c>
      <c r="O55" s="9" t="s">
        <v>3378</v>
      </c>
      <c r="P55" s="9"/>
      <c r="Q55">
        <f>Table13456789101112132345678910111213[[#This Row],[LOADED LITRES]]-Table13456789101112132345678910111213[[#This Row],[Offloading Litres]]</f>
        <v>-226</v>
      </c>
    </row>
    <row r="56" spans="1:17" x14ac:dyDescent="0.3">
      <c r="A56" s="50">
        <v>46008</v>
      </c>
      <c r="B56" s="50" t="s">
        <v>3444</v>
      </c>
      <c r="C56" t="s">
        <v>30</v>
      </c>
      <c r="E56" t="s">
        <v>3350</v>
      </c>
      <c r="G56" s="59">
        <v>433409199</v>
      </c>
      <c r="H56" t="s">
        <v>25</v>
      </c>
      <c r="I56">
        <v>43884</v>
      </c>
      <c r="J56"/>
      <c r="K56"/>
      <c r="L56" t="s">
        <v>16</v>
      </c>
      <c r="M56" s="50">
        <v>46010</v>
      </c>
      <c r="N56">
        <v>44153</v>
      </c>
      <c r="O56" s="9" t="s">
        <v>3389</v>
      </c>
      <c r="P56" s="9"/>
      <c r="Q56">
        <f>Table13456789101112132345678910111213[[#This Row],[LOADED LITRES]]-Table13456789101112132345678910111213[[#This Row],[Offloading Litres]]</f>
        <v>-269</v>
      </c>
    </row>
    <row r="57" spans="1:17" x14ac:dyDescent="0.3">
      <c r="A57" s="50">
        <v>46008</v>
      </c>
      <c r="B57" s="50" t="s">
        <v>3444</v>
      </c>
      <c r="C57" t="s">
        <v>28</v>
      </c>
      <c r="E57" t="s">
        <v>3355</v>
      </c>
      <c r="G57" s="59">
        <v>433409204</v>
      </c>
      <c r="H57" t="s">
        <v>32</v>
      </c>
      <c r="I57">
        <v>39547</v>
      </c>
      <c r="J57"/>
      <c r="K57"/>
      <c r="L57" t="s">
        <v>16</v>
      </c>
      <c r="M57" s="50">
        <v>46015</v>
      </c>
      <c r="N57">
        <v>39652</v>
      </c>
      <c r="O57" s="9" t="s">
        <v>3421</v>
      </c>
      <c r="P57" s="9"/>
      <c r="Q57">
        <f>Table13456789101112132345678910111213[[#This Row],[LOADED LITRES]]-Table13456789101112132345678910111213[[#This Row],[Offloading Litres]]</f>
        <v>-105</v>
      </c>
    </row>
    <row r="58" spans="1:17" x14ac:dyDescent="0.3">
      <c r="A58" s="50">
        <v>46009</v>
      </c>
      <c r="B58" s="50" t="s">
        <v>3444</v>
      </c>
      <c r="C58" t="s">
        <v>22</v>
      </c>
      <c r="E58" t="s">
        <v>3360</v>
      </c>
      <c r="G58" s="59">
        <v>433656205</v>
      </c>
      <c r="H58" t="s">
        <v>32</v>
      </c>
      <c r="I58">
        <v>39815</v>
      </c>
      <c r="J58"/>
      <c r="K58"/>
      <c r="L58" t="s">
        <v>3362</v>
      </c>
      <c r="M58" s="50">
        <v>46011</v>
      </c>
      <c r="N58">
        <v>39890</v>
      </c>
      <c r="O58" s="9" t="s">
        <v>3414</v>
      </c>
      <c r="P58" s="9"/>
      <c r="Q58">
        <f>Table13456789101112132345678910111213[[#This Row],[LOADED LITRES]]-Table13456789101112132345678910111213[[#This Row],[Offloading Litres]]</f>
        <v>-75</v>
      </c>
    </row>
    <row r="59" spans="1:17" x14ac:dyDescent="0.3">
      <c r="A59" s="50">
        <v>46009</v>
      </c>
      <c r="B59" s="50" t="s">
        <v>3444</v>
      </c>
      <c r="C59" t="s">
        <v>29</v>
      </c>
      <c r="E59" t="s">
        <v>3354</v>
      </c>
      <c r="G59" s="59">
        <v>433630807</v>
      </c>
      <c r="H59" t="s">
        <v>32</v>
      </c>
      <c r="I59">
        <v>43904</v>
      </c>
      <c r="J59"/>
      <c r="K59"/>
      <c r="L59" t="s">
        <v>16</v>
      </c>
      <c r="M59" s="50">
        <v>46013</v>
      </c>
      <c r="N59">
        <v>43925</v>
      </c>
      <c r="O59" s="9" t="s">
        <v>3415</v>
      </c>
      <c r="P59" s="9"/>
      <c r="Q59">
        <f>Table13456789101112132345678910111213[[#This Row],[LOADED LITRES]]-Table13456789101112132345678910111213[[#This Row],[Offloading Litres]]</f>
        <v>-21</v>
      </c>
    </row>
    <row r="60" spans="1:17" x14ac:dyDescent="0.3">
      <c r="A60" s="50">
        <v>46010</v>
      </c>
      <c r="B60" s="50" t="s">
        <v>3444</v>
      </c>
      <c r="C60" t="s">
        <v>21</v>
      </c>
      <c r="E60" t="s">
        <v>3359</v>
      </c>
      <c r="G60" s="59">
        <v>433656128</v>
      </c>
      <c r="H60" t="s">
        <v>32</v>
      </c>
      <c r="I60">
        <v>39127</v>
      </c>
      <c r="J60"/>
      <c r="K60"/>
      <c r="L60" t="s">
        <v>3362</v>
      </c>
      <c r="M60" s="50">
        <v>46015</v>
      </c>
      <c r="N60">
        <v>39223</v>
      </c>
      <c r="O60" s="9" t="s">
        <v>3420</v>
      </c>
      <c r="P60" s="9"/>
      <c r="Q60">
        <f>Table13456789101112132345678910111213[[#This Row],[LOADED LITRES]]-Table13456789101112132345678910111213[[#This Row],[Offloading Litres]]</f>
        <v>-96</v>
      </c>
    </row>
    <row r="61" spans="1:17" x14ac:dyDescent="0.3">
      <c r="A61" s="50">
        <v>46011</v>
      </c>
      <c r="B61" s="50" t="s">
        <v>3444</v>
      </c>
      <c r="C61" t="s">
        <v>30</v>
      </c>
      <c r="E61" t="s">
        <v>3350</v>
      </c>
      <c r="G61" s="59">
        <v>433630812</v>
      </c>
      <c r="H61" t="s">
        <v>32</v>
      </c>
      <c r="I61">
        <v>38640</v>
      </c>
      <c r="J61"/>
      <c r="K61"/>
      <c r="L61" t="s">
        <v>16</v>
      </c>
      <c r="M61" s="50">
        <v>46013</v>
      </c>
      <c r="N61">
        <v>38795</v>
      </c>
      <c r="O61" s="9" t="s">
        <v>3417</v>
      </c>
      <c r="P61" s="9"/>
      <c r="Q61">
        <f>Table13456789101112132345678910111213[[#This Row],[LOADED LITRES]]-Table13456789101112132345678910111213[[#This Row],[Offloading Litres]]</f>
        <v>-155</v>
      </c>
    </row>
    <row r="62" spans="1:17" x14ac:dyDescent="0.3">
      <c r="A62" s="50">
        <v>46011</v>
      </c>
      <c r="B62" s="50" t="s">
        <v>3444</v>
      </c>
      <c r="C62" t="s">
        <v>1794</v>
      </c>
      <c r="E62" t="s">
        <v>3353</v>
      </c>
      <c r="G62" s="59">
        <v>433630808</v>
      </c>
      <c r="H62" t="s">
        <v>25</v>
      </c>
      <c r="I62">
        <v>44348</v>
      </c>
      <c r="J62"/>
      <c r="K62"/>
      <c r="L62" t="s">
        <v>16</v>
      </c>
      <c r="M62" s="50">
        <v>46014</v>
      </c>
      <c r="N62">
        <v>44392</v>
      </c>
      <c r="O62" s="9" t="s">
        <v>3418</v>
      </c>
      <c r="P62" s="9"/>
      <c r="Q62">
        <f>Table13456789101112132345678910111213[[#This Row],[LOADED LITRES]]-Table13456789101112132345678910111213[[#This Row],[Offloading Litres]]</f>
        <v>-44</v>
      </c>
    </row>
    <row r="63" spans="1:17" x14ac:dyDescent="0.3">
      <c r="A63" s="50">
        <v>46011</v>
      </c>
      <c r="B63" s="50" t="s">
        <v>3444</v>
      </c>
      <c r="C63" t="s">
        <v>34</v>
      </c>
      <c r="E63" t="s">
        <v>3349</v>
      </c>
      <c r="G63" s="59">
        <v>433630813</v>
      </c>
      <c r="H63" t="s">
        <v>32</v>
      </c>
      <c r="I63">
        <v>38638</v>
      </c>
      <c r="J63"/>
      <c r="K63"/>
      <c r="L63" t="s">
        <v>16</v>
      </c>
      <c r="M63" s="50">
        <v>46013</v>
      </c>
      <c r="N63">
        <v>38757</v>
      </c>
      <c r="O63" s="9" t="s">
        <v>3416</v>
      </c>
      <c r="P63" s="9"/>
      <c r="Q63">
        <f>Table13456789101112132345678910111213[[#This Row],[LOADED LITRES]]-Table13456789101112132345678910111213[[#This Row],[Offloading Litres]]</f>
        <v>-119</v>
      </c>
    </row>
    <row r="64" spans="1:17" x14ac:dyDescent="0.3">
      <c r="A64" s="50">
        <v>46012</v>
      </c>
      <c r="B64" s="50" t="s">
        <v>3444</v>
      </c>
      <c r="C64" t="s">
        <v>22</v>
      </c>
      <c r="E64" t="s">
        <v>3360</v>
      </c>
      <c r="G64" s="59">
        <v>433656127</v>
      </c>
      <c r="H64" t="s">
        <v>32</v>
      </c>
      <c r="I64">
        <v>39658</v>
      </c>
      <c r="J64"/>
      <c r="K64"/>
      <c r="L64" t="s">
        <v>3362</v>
      </c>
      <c r="M64" s="50">
        <v>46014</v>
      </c>
      <c r="N64">
        <v>39756</v>
      </c>
      <c r="O64" s="9" t="s">
        <v>3419</v>
      </c>
      <c r="P64" s="9"/>
      <c r="Q64">
        <f>Table13456789101112132345678910111213[[#This Row],[LOADED LITRES]]-Table13456789101112132345678910111213[[#This Row],[Offloading Litres]]</f>
        <v>-98</v>
      </c>
    </row>
    <row r="65" spans="1:17" x14ac:dyDescent="0.3">
      <c r="A65" s="50">
        <v>46014</v>
      </c>
      <c r="B65" s="50" t="s">
        <v>3444</v>
      </c>
      <c r="C65" t="s">
        <v>29</v>
      </c>
      <c r="E65" t="s">
        <v>3358</v>
      </c>
      <c r="G65" s="59">
        <v>433630809</v>
      </c>
      <c r="H65" t="s">
        <v>25</v>
      </c>
      <c r="I65">
        <v>43692</v>
      </c>
      <c r="J65"/>
      <c r="K65"/>
      <c r="L65" t="s">
        <v>16</v>
      </c>
      <c r="M65" s="50">
        <v>46015</v>
      </c>
      <c r="N65">
        <v>43966</v>
      </c>
      <c r="O65" s="9" t="s">
        <v>3423</v>
      </c>
      <c r="P65" s="9"/>
      <c r="Q65">
        <f>Table13456789101112132345678910111213[[#This Row],[LOADED LITRES]]-Table13456789101112132345678910111213[[#This Row],[Offloading Litres]]</f>
        <v>-274</v>
      </c>
    </row>
    <row r="66" spans="1:17" x14ac:dyDescent="0.3">
      <c r="A66" s="50">
        <v>46014</v>
      </c>
      <c r="B66" s="50" t="s">
        <v>3444</v>
      </c>
      <c r="C66" t="s">
        <v>34</v>
      </c>
      <c r="E66" t="s">
        <v>3349</v>
      </c>
      <c r="G66" s="59">
        <v>433630814</v>
      </c>
      <c r="H66" t="s">
        <v>32</v>
      </c>
      <c r="I66">
        <v>38691</v>
      </c>
      <c r="J66"/>
      <c r="K66"/>
      <c r="L66" t="s">
        <v>16</v>
      </c>
      <c r="M66" s="50">
        <v>46015</v>
      </c>
      <c r="N66">
        <v>38953</v>
      </c>
      <c r="O66" s="9" t="s">
        <v>3422</v>
      </c>
      <c r="P66" s="9"/>
      <c r="Q66">
        <f>Table13456789101112132345678910111213[[#This Row],[LOADED LITRES]]-Table13456789101112132345678910111213[[#This Row],[Offloading Litres]]</f>
        <v>-262</v>
      </c>
    </row>
    <row r="67" spans="1:17" x14ac:dyDescent="0.3">
      <c r="A67" s="50">
        <v>46014</v>
      </c>
      <c r="B67" s="50" t="s">
        <v>3444</v>
      </c>
      <c r="C67" t="s">
        <v>30</v>
      </c>
      <c r="E67" t="s">
        <v>3350</v>
      </c>
      <c r="G67" s="59">
        <v>433630810</v>
      </c>
      <c r="H67" t="s">
        <v>25</v>
      </c>
      <c r="I67">
        <v>43841</v>
      </c>
      <c r="J67"/>
      <c r="K67"/>
      <c r="L67" t="s">
        <v>16</v>
      </c>
      <c r="M67" s="50">
        <v>46020</v>
      </c>
      <c r="N67">
        <v>44091</v>
      </c>
      <c r="O67" s="9" t="s">
        <v>3427</v>
      </c>
      <c r="P67" s="9"/>
      <c r="Q67">
        <f>Table13456789101112132345678910111213[[#This Row],[LOADED LITRES]]-Table13456789101112132345678910111213[[#This Row],[Offloading Litres]]</f>
        <v>-250</v>
      </c>
    </row>
    <row r="68" spans="1:17" x14ac:dyDescent="0.3">
      <c r="A68" s="50">
        <v>46014</v>
      </c>
      <c r="B68" s="50" t="s">
        <v>3444</v>
      </c>
      <c r="C68" t="s">
        <v>1794</v>
      </c>
      <c r="E68" t="s">
        <v>3353</v>
      </c>
      <c r="G68" s="59">
        <v>433630815</v>
      </c>
      <c r="H68" t="s">
        <v>32</v>
      </c>
      <c r="I68">
        <v>39680</v>
      </c>
      <c r="J68"/>
      <c r="K68"/>
      <c r="L68" t="s">
        <v>16</v>
      </c>
      <c r="M68" s="50">
        <v>46020</v>
      </c>
      <c r="N68">
        <v>39768</v>
      </c>
      <c r="O68" s="9" t="s">
        <v>3426</v>
      </c>
      <c r="P68" s="9"/>
      <c r="Q68">
        <f>Table13456789101112132345678910111213[[#This Row],[LOADED LITRES]]-Table13456789101112132345678910111213[[#This Row],[Offloading Litres]]</f>
        <v>-88</v>
      </c>
    </row>
    <row r="69" spans="1:17" x14ac:dyDescent="0.3">
      <c r="A69" s="50">
        <v>46015</v>
      </c>
      <c r="B69" s="50" t="s">
        <v>3444</v>
      </c>
      <c r="C69" t="s">
        <v>22</v>
      </c>
      <c r="E69" t="s">
        <v>3361</v>
      </c>
      <c r="G69" s="59">
        <v>433630811</v>
      </c>
      <c r="H69" t="s">
        <v>32</v>
      </c>
      <c r="I69">
        <v>43915</v>
      </c>
      <c r="J69"/>
      <c r="K69"/>
      <c r="L69" t="s">
        <v>16</v>
      </c>
      <c r="M69" s="50">
        <v>46020</v>
      </c>
      <c r="N69">
        <v>43901</v>
      </c>
      <c r="O69" s="9" t="s">
        <v>3429</v>
      </c>
      <c r="P69" s="9"/>
      <c r="Q69">
        <f>Table13456789101112132345678910111213[[#This Row],[LOADED LITRES]]-Table13456789101112132345678910111213[[#This Row],[Offloading Litres]]</f>
        <v>14</v>
      </c>
    </row>
    <row r="70" spans="1:17" x14ac:dyDescent="0.3">
      <c r="A70" s="50">
        <v>46020</v>
      </c>
      <c r="B70" s="50" t="s">
        <v>3444</v>
      </c>
      <c r="C70" t="s">
        <v>34</v>
      </c>
      <c r="E70" t="s">
        <v>3349</v>
      </c>
      <c r="G70" s="59">
        <v>433630816</v>
      </c>
      <c r="H70" t="s">
        <v>32</v>
      </c>
      <c r="I70">
        <v>38702</v>
      </c>
      <c r="J70"/>
      <c r="K70"/>
      <c r="L70" t="s">
        <v>16</v>
      </c>
      <c r="M70" s="50">
        <v>46021</v>
      </c>
      <c r="N70">
        <v>38977</v>
      </c>
      <c r="O70" s="9" t="s">
        <v>3430</v>
      </c>
      <c r="P70" s="9"/>
      <c r="Q70">
        <f>Table13456789101112132345678910111213[[#This Row],[LOADED LITRES]]-Table13456789101112132345678910111213[[#This Row],[Offloading Litres]]</f>
        <v>-275</v>
      </c>
    </row>
    <row r="71" spans="1:17" x14ac:dyDescent="0.3">
      <c r="A71" s="50">
        <v>46018</v>
      </c>
      <c r="B71" s="50" t="s">
        <v>3444</v>
      </c>
      <c r="C71" t="s">
        <v>34</v>
      </c>
      <c r="E71" t="s">
        <v>3349</v>
      </c>
      <c r="G71" s="56">
        <v>434025279</v>
      </c>
      <c r="H71" t="s">
        <v>25</v>
      </c>
      <c r="I71">
        <v>43913</v>
      </c>
      <c r="J71"/>
      <c r="K71"/>
      <c r="L71" t="s">
        <v>40</v>
      </c>
      <c r="M71" s="50">
        <v>46019</v>
      </c>
      <c r="N71">
        <v>44179</v>
      </c>
      <c r="O71" s="9" t="s">
        <v>3425</v>
      </c>
      <c r="P71" s="9"/>
      <c r="Q71">
        <f>Table13456789101112132345678910111213[[#This Row],[LOADED LITRES]]-Table13456789101112132345678910111213[[#This Row],[Offloading Litres]]</f>
        <v>-266</v>
      </c>
    </row>
    <row r="72" spans="1:17" x14ac:dyDescent="0.3">
      <c r="A72" s="50">
        <v>46018</v>
      </c>
      <c r="B72" s="50" t="s">
        <v>3444</v>
      </c>
      <c r="C72" t="s">
        <v>29</v>
      </c>
      <c r="E72" t="s">
        <v>3358</v>
      </c>
      <c r="G72" s="59">
        <v>434025314</v>
      </c>
      <c r="H72" t="s">
        <v>32</v>
      </c>
      <c r="I72">
        <v>38778</v>
      </c>
      <c r="J72"/>
      <c r="K72"/>
      <c r="L72" t="s">
        <v>40</v>
      </c>
      <c r="M72" s="50">
        <v>46019</v>
      </c>
      <c r="N72">
        <v>38935</v>
      </c>
      <c r="O72" s="9" t="s">
        <v>3438</v>
      </c>
      <c r="P72" s="9"/>
      <c r="Q72">
        <f>Table13456789101112132345678910111213[[#This Row],[LOADED LITRES]]-Table13456789101112132345678910111213[[#This Row],[Offloading Litres]]</f>
        <v>-157</v>
      </c>
    </row>
    <row r="73" spans="1:17" x14ac:dyDescent="0.3">
      <c r="A73" s="50">
        <v>46018</v>
      </c>
      <c r="B73" s="50" t="s">
        <v>3444</v>
      </c>
      <c r="C73" t="s">
        <v>23</v>
      </c>
      <c r="E73" t="s">
        <v>3356</v>
      </c>
      <c r="G73" s="59">
        <v>434025315</v>
      </c>
      <c r="H73" t="s">
        <v>32</v>
      </c>
      <c r="I73">
        <v>38805</v>
      </c>
      <c r="J73"/>
      <c r="K73"/>
      <c r="L73" t="s">
        <v>40</v>
      </c>
      <c r="M73" s="50">
        <v>46019</v>
      </c>
      <c r="N73">
        <v>38925</v>
      </c>
      <c r="O73" s="9" t="s">
        <v>3424</v>
      </c>
      <c r="P73" s="9"/>
      <c r="Q73">
        <f>Table13456789101112132345678910111213[[#This Row],[LOADED LITRES]]-Table13456789101112132345678910111213[[#This Row],[Offloading Litres]]</f>
        <v>-120</v>
      </c>
    </row>
    <row r="74" spans="1:17" x14ac:dyDescent="0.3">
      <c r="A74" s="50">
        <v>46018</v>
      </c>
      <c r="B74" s="50" t="s">
        <v>3444</v>
      </c>
      <c r="C74" t="s">
        <v>21</v>
      </c>
      <c r="E74" t="s">
        <v>3359</v>
      </c>
      <c r="G74" s="59">
        <v>434025316</v>
      </c>
      <c r="H74" t="s">
        <v>32</v>
      </c>
      <c r="I74">
        <v>39291</v>
      </c>
      <c r="J74"/>
      <c r="K74"/>
      <c r="L74" t="s">
        <v>40</v>
      </c>
      <c r="M74" s="50">
        <v>46020</v>
      </c>
      <c r="N74">
        <v>39392</v>
      </c>
      <c r="O74" s="9" t="s">
        <v>3428</v>
      </c>
      <c r="P74" s="9"/>
      <c r="Q74">
        <f>Table13456789101112132345678910111213[[#This Row],[LOADED LITRES]]-Table13456789101112132345678910111213[[#This Row],[Offloading Litres]]</f>
        <v>-101</v>
      </c>
    </row>
    <row r="75" spans="1:17" x14ac:dyDescent="0.3">
      <c r="A75" s="50">
        <v>46020</v>
      </c>
      <c r="B75" s="50" t="s">
        <v>3444</v>
      </c>
      <c r="C75" t="s">
        <v>29</v>
      </c>
      <c r="E75" t="s">
        <v>3358</v>
      </c>
      <c r="G75" s="59">
        <v>433874834</v>
      </c>
      <c r="H75" t="s">
        <v>32</v>
      </c>
      <c r="I75">
        <v>38716</v>
      </c>
      <c r="J75"/>
      <c r="K75"/>
      <c r="L75" t="s">
        <v>16</v>
      </c>
      <c r="M75" s="50">
        <v>46021</v>
      </c>
      <c r="N75">
        <v>38956</v>
      </c>
      <c r="O75" s="9" t="s">
        <v>3431</v>
      </c>
      <c r="P75" s="9"/>
      <c r="Q75">
        <f>Table13456789101112132345678910111213[[#This Row],[LOADED LITRES]]-Table13456789101112132345678910111213[[#This Row],[Offloading Litres]]</f>
        <v>-240</v>
      </c>
    </row>
    <row r="76" spans="1:17" x14ac:dyDescent="0.3">
      <c r="A76" s="50">
        <v>46020</v>
      </c>
      <c r="B76" s="50" t="s">
        <v>3444</v>
      </c>
      <c r="C76" t="s">
        <v>23</v>
      </c>
      <c r="E76" t="s">
        <v>3356</v>
      </c>
      <c r="G76" s="59">
        <v>433874874</v>
      </c>
      <c r="H76" t="s">
        <v>32</v>
      </c>
      <c r="I76">
        <v>38741</v>
      </c>
      <c r="J76"/>
      <c r="K76"/>
      <c r="L76" t="s">
        <v>16</v>
      </c>
      <c r="M76" s="50">
        <v>46021</v>
      </c>
      <c r="N76">
        <v>38920</v>
      </c>
      <c r="O76" s="9" t="s">
        <v>3432</v>
      </c>
      <c r="P76" s="9"/>
      <c r="Q76">
        <f>Table13456789101112132345678910111213[[#This Row],[LOADED LITRES]]-Table13456789101112132345678910111213[[#This Row],[Offloading Litres]]</f>
        <v>-179</v>
      </c>
    </row>
    <row r="77" spans="1:17" x14ac:dyDescent="0.3">
      <c r="A77" s="50">
        <v>46021</v>
      </c>
      <c r="B77" s="50" t="s">
        <v>3444</v>
      </c>
      <c r="C77" t="s">
        <v>30</v>
      </c>
      <c r="E77" t="s">
        <v>3350</v>
      </c>
      <c r="G77" s="59">
        <v>434025317</v>
      </c>
      <c r="H77" t="s">
        <v>32</v>
      </c>
      <c r="I77">
        <v>38771</v>
      </c>
      <c r="J77"/>
      <c r="K77"/>
      <c r="L77" t="s">
        <v>40</v>
      </c>
      <c r="M77" s="50">
        <v>46022</v>
      </c>
      <c r="N77">
        <v>38939</v>
      </c>
      <c r="O77" s="9" t="s">
        <v>3434</v>
      </c>
      <c r="P77" s="9"/>
      <c r="Q77">
        <f>Table13456789101112132345678910111213[[#This Row],[LOADED LITRES]]-Table13456789101112132345678910111213[[#This Row],[Offloading Litres]]</f>
        <v>-168</v>
      </c>
    </row>
    <row r="78" spans="1:17" x14ac:dyDescent="0.3">
      <c r="A78" s="50">
        <v>46021</v>
      </c>
      <c r="B78" s="50" t="s">
        <v>3444</v>
      </c>
      <c r="C78" t="s">
        <v>1794</v>
      </c>
      <c r="E78" t="s">
        <v>3351</v>
      </c>
      <c r="G78" s="59">
        <v>434025318</v>
      </c>
      <c r="H78" t="s">
        <v>32</v>
      </c>
      <c r="I78">
        <v>39665</v>
      </c>
      <c r="J78"/>
      <c r="K78"/>
      <c r="L78" t="s">
        <v>40</v>
      </c>
      <c r="M78" s="50">
        <v>46024</v>
      </c>
      <c r="N78">
        <v>39754</v>
      </c>
      <c r="O78" s="9" t="s">
        <v>3436</v>
      </c>
      <c r="P78" s="9"/>
      <c r="Q78">
        <f>Table13456789101112132345678910111213[[#This Row],[LOADED LITRES]]-Table13456789101112132345678910111213[[#This Row],[Offloading Litres]]</f>
        <v>-89</v>
      </c>
    </row>
    <row r="79" spans="1:17" x14ac:dyDescent="0.3">
      <c r="A79" s="50">
        <v>46021</v>
      </c>
      <c r="B79" s="50" t="s">
        <v>3444</v>
      </c>
      <c r="C79" t="s">
        <v>22</v>
      </c>
      <c r="E79" t="s">
        <v>3360</v>
      </c>
      <c r="G79" s="59">
        <v>434025319</v>
      </c>
      <c r="H79" t="s">
        <v>32</v>
      </c>
      <c r="I79">
        <v>39664</v>
      </c>
      <c r="J79"/>
      <c r="K79"/>
      <c r="L79" t="s">
        <v>40</v>
      </c>
      <c r="M79" s="50">
        <v>46024</v>
      </c>
      <c r="N79">
        <v>39837</v>
      </c>
      <c r="O79" s="9" t="s">
        <v>3435</v>
      </c>
      <c r="P79" s="9"/>
      <c r="Q79">
        <f>Table13456789101112132345678910111213[[#This Row],[LOADED LITRES]]-Table13456789101112132345678910111213[[#This Row],[Offloading Litres]]</f>
        <v>-173</v>
      </c>
    </row>
    <row r="80" spans="1:17" x14ac:dyDescent="0.3">
      <c r="A80" s="50">
        <v>46021</v>
      </c>
      <c r="B80" s="50" t="s">
        <v>3444</v>
      </c>
      <c r="C80" t="s">
        <v>21</v>
      </c>
      <c r="E80" t="s">
        <v>3359</v>
      </c>
      <c r="G80" s="59">
        <v>433874875</v>
      </c>
      <c r="H80" t="s">
        <v>32</v>
      </c>
      <c r="I80">
        <v>39258</v>
      </c>
      <c r="J80"/>
      <c r="K80"/>
      <c r="L80" t="s">
        <v>16</v>
      </c>
      <c r="M80" s="50">
        <v>46022</v>
      </c>
      <c r="N80">
        <v>39460</v>
      </c>
      <c r="O80" s="9" t="s">
        <v>3433</v>
      </c>
      <c r="P80" s="9"/>
      <c r="Q80">
        <f>Table13456789101112132345678910111213[[#This Row],[LOADED LITRES]]-Table13456789101112132345678910111213[[#This Row],[Offloading Litres]]</f>
        <v>-202</v>
      </c>
    </row>
    <row r="81" spans="1:17" x14ac:dyDescent="0.3">
      <c r="A81" s="50">
        <v>46021</v>
      </c>
      <c r="B81" s="50" t="s">
        <v>3444</v>
      </c>
      <c r="C81" t="s">
        <v>28</v>
      </c>
      <c r="E81" t="s">
        <v>3355</v>
      </c>
      <c r="G81" s="59">
        <v>433874876</v>
      </c>
      <c r="H81" t="s">
        <v>32</v>
      </c>
      <c r="I81">
        <v>39507</v>
      </c>
      <c r="J81"/>
      <c r="K81"/>
      <c r="L81" t="s">
        <v>16</v>
      </c>
      <c r="M81" s="50">
        <v>46024</v>
      </c>
      <c r="N81">
        <v>39657</v>
      </c>
      <c r="O81" s="9" t="s">
        <v>3437</v>
      </c>
      <c r="P81" s="9"/>
      <c r="Q81">
        <f>Table13456789101112132345678910111213[[#This Row],[LOADED LITRES]]-Table13456789101112132345678910111213[[#This Row],[Offloading Litres]]</f>
        <v>-150</v>
      </c>
    </row>
    <row r="118" spans="9:11" x14ac:dyDescent="0.3">
      <c r="I118" s="54"/>
      <c r="J118" s="54"/>
      <c r="K118" s="54"/>
    </row>
    <row r="119" spans="9:11" x14ac:dyDescent="0.3">
      <c r="I119" s="61"/>
      <c r="J119" s="61"/>
      <c r="K119" s="61"/>
    </row>
    <row r="120" spans="9:11" x14ac:dyDescent="0.3">
      <c r="I120" s="61"/>
      <c r="J120" s="61"/>
      <c r="K120" s="61"/>
    </row>
    <row r="121" spans="9:11" x14ac:dyDescent="0.3">
      <c r="I121" s="61"/>
      <c r="J121" s="61"/>
      <c r="K121" s="61"/>
    </row>
    <row r="122" spans="9:11" x14ac:dyDescent="0.3">
      <c r="I122" s="61"/>
      <c r="J122" s="61"/>
      <c r="K122" s="61"/>
    </row>
    <row r="123" spans="9:11" x14ac:dyDescent="0.3">
      <c r="I123" s="61"/>
      <c r="J123" s="61"/>
      <c r="K123" s="61"/>
    </row>
    <row r="124" spans="9:11" x14ac:dyDescent="0.3">
      <c r="I124" s="61"/>
      <c r="J124" s="61"/>
      <c r="K124" s="61"/>
    </row>
    <row r="125" spans="9:11" x14ac:dyDescent="0.3">
      <c r="I125" s="61"/>
      <c r="J125" s="61"/>
      <c r="K125" s="61"/>
    </row>
    <row r="126" spans="9:11" x14ac:dyDescent="0.3">
      <c r="I126" s="61"/>
      <c r="J126" s="61"/>
      <c r="K126" s="61"/>
    </row>
    <row r="127" spans="9:11" x14ac:dyDescent="0.3">
      <c r="I127" s="61"/>
      <c r="J127" s="61"/>
      <c r="K127" s="61"/>
    </row>
    <row r="128" spans="9:11" x14ac:dyDescent="0.3">
      <c r="I128" s="61"/>
      <c r="J128" s="61"/>
      <c r="K128" s="61"/>
    </row>
    <row r="129" spans="9:11" x14ac:dyDescent="0.3">
      <c r="I129" s="61"/>
      <c r="J129" s="61"/>
      <c r="K129" s="61"/>
    </row>
    <row r="130" spans="9:11" x14ac:dyDescent="0.3">
      <c r="I130" s="61"/>
      <c r="J130" s="61"/>
      <c r="K130" s="61"/>
    </row>
    <row r="131" spans="9:11" x14ac:dyDescent="0.3">
      <c r="I131" s="61"/>
      <c r="J131" s="61"/>
      <c r="K131" s="61"/>
    </row>
    <row r="132" spans="9:11" x14ac:dyDescent="0.3">
      <c r="I132" s="61"/>
      <c r="J132" s="61"/>
      <c r="K132" s="61"/>
    </row>
    <row r="133" spans="9:11" x14ac:dyDescent="0.3">
      <c r="I133" s="54"/>
      <c r="J133" s="54"/>
      <c r="K133" s="54"/>
    </row>
    <row r="134" spans="9:11" x14ac:dyDescent="0.3">
      <c r="I134" s="61"/>
      <c r="J134" s="61"/>
      <c r="K134" s="61"/>
    </row>
    <row r="135" spans="9:11" x14ac:dyDescent="0.3">
      <c r="I135" s="61"/>
      <c r="J135" s="61"/>
      <c r="K135" s="61"/>
    </row>
    <row r="136" spans="9:11" x14ac:dyDescent="0.3">
      <c r="I136" s="61"/>
      <c r="J136" s="61"/>
      <c r="K136" s="61"/>
    </row>
    <row r="137" spans="9:11" x14ac:dyDescent="0.3">
      <c r="I137" s="61"/>
      <c r="J137" s="61"/>
      <c r="K137" s="61"/>
    </row>
    <row r="138" spans="9:11" x14ac:dyDescent="0.3">
      <c r="I138" s="61"/>
      <c r="J138" s="61"/>
      <c r="K138" s="61"/>
    </row>
    <row r="139" spans="9:11" x14ac:dyDescent="0.3">
      <c r="I139" s="61"/>
      <c r="J139" s="61"/>
      <c r="K139" s="61"/>
    </row>
    <row r="140" spans="9:11" x14ac:dyDescent="0.3">
      <c r="I140" s="61"/>
      <c r="J140" s="61"/>
      <c r="K140" s="61"/>
    </row>
    <row r="141" spans="9:11" x14ac:dyDescent="0.3">
      <c r="I141" s="61"/>
      <c r="J141" s="61"/>
      <c r="K141" s="61"/>
    </row>
    <row r="142" spans="9:11" x14ac:dyDescent="0.3">
      <c r="I142" s="61"/>
      <c r="J142" s="61"/>
      <c r="K142" s="61"/>
    </row>
    <row r="143" spans="9:11" x14ac:dyDescent="0.3">
      <c r="I143" s="54"/>
      <c r="J143" s="54"/>
      <c r="K143" s="54"/>
    </row>
    <row r="144" spans="9:11" x14ac:dyDescent="0.3">
      <c r="I144" s="62"/>
      <c r="J144" s="62"/>
      <c r="K144" s="62"/>
    </row>
    <row r="145" spans="9:11" x14ac:dyDescent="0.3">
      <c r="I145" s="62"/>
      <c r="J145" s="62"/>
      <c r="K145" s="62"/>
    </row>
    <row r="146" spans="9:11" x14ac:dyDescent="0.3">
      <c r="I146" s="62"/>
      <c r="J146" s="62"/>
      <c r="K146" s="62"/>
    </row>
    <row r="147" spans="9:11" x14ac:dyDescent="0.3">
      <c r="I147" s="62"/>
      <c r="J147" s="62"/>
      <c r="K147" s="62"/>
    </row>
  </sheetData>
  <phoneticPr fontId="2" type="noConversion"/>
  <conditionalFormatting sqref="G1">
    <cfRule type="duplicateValues" dxfId="0" priority="7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 25</vt:lpstr>
      <vt:lpstr>FEB 25</vt:lpstr>
      <vt:lpstr>MAR 25</vt:lpstr>
      <vt:lpstr>APR 25</vt:lpstr>
      <vt:lpstr>MAY 25</vt:lpstr>
      <vt:lpstr>JUN 25</vt:lpstr>
      <vt:lpstr>JUL 25</vt:lpstr>
      <vt:lpstr>AUG 25</vt:lpstr>
      <vt:lpstr>SEP 25</vt:lpstr>
      <vt:lpstr>OCT 25</vt:lpstr>
      <vt:lpstr>NOV 25</vt:lpstr>
      <vt:lpstr>DEC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Letsie</dc:creator>
  <cp:lastModifiedBy>HIPPO TRANSPORT</cp:lastModifiedBy>
  <cp:lastPrinted>2025-02-20T07:46:01Z</cp:lastPrinted>
  <dcterms:created xsi:type="dcterms:W3CDTF">2022-01-06T10:10:44Z</dcterms:created>
  <dcterms:modified xsi:type="dcterms:W3CDTF">2026-01-20T14:29:04Z</dcterms:modified>
</cp:coreProperties>
</file>